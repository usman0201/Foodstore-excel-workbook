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InkAnnotation="0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s\Imtiaz\Desktop\"/>
    </mc:Choice>
  </mc:AlternateContent>
  <xr:revisionPtr revIDLastSave="0" documentId="13_ncr:1_{A503BDFC-9525-466A-8CE6-0035EDB39AA3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MAIN" sheetId="2" r:id="rId1"/>
    <sheet name="PURCHASE" sheetId="7" r:id="rId2"/>
    <sheet name="BRANCH" sheetId="8" r:id="rId3"/>
    <sheet name="TOTAL SEND TO EACH BRACNH" sheetId="9" r:id="rId4"/>
    <sheet name="STOCK" sheetId="1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2" l="1"/>
  <c r="C3" i="9"/>
  <c r="C4" i="9"/>
  <c r="C5" i="9"/>
  <c r="C6" i="9"/>
  <c r="C7" i="9"/>
  <c r="C8" i="9"/>
  <c r="C9" i="9"/>
  <c r="C10" i="9"/>
  <c r="C2" i="9"/>
  <c r="B3" i="9"/>
  <c r="B4" i="9"/>
  <c r="B5" i="9"/>
  <c r="B6" i="9"/>
  <c r="B7" i="9"/>
  <c r="B8" i="9"/>
  <c r="B9" i="9"/>
  <c r="B10" i="9"/>
  <c r="B2" i="9"/>
  <c r="B9" i="1"/>
  <c r="M3" i="1"/>
  <c r="M2" i="1"/>
  <c r="L3" i="1"/>
  <c r="L2" i="1"/>
  <c r="B2" i="1"/>
  <c r="B3" i="1"/>
  <c r="C3" i="1"/>
  <c r="B4" i="1"/>
  <c r="C4" i="1"/>
  <c r="B5" i="1"/>
  <c r="C5" i="1"/>
  <c r="B6" i="1"/>
  <c r="C6" i="1"/>
  <c r="B7" i="1"/>
  <c r="C7" i="1"/>
  <c r="B8" i="1"/>
  <c r="C8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C2" i="1"/>
  <c r="C11" i="2"/>
  <c r="D2" i="1" l="1"/>
  <c r="F2" i="1" s="1"/>
  <c r="D14" i="1"/>
  <c r="F14" i="1" s="1"/>
  <c r="D10" i="1"/>
  <c r="F10" i="1" s="1"/>
  <c r="D6" i="1"/>
  <c r="F6" i="1" s="1"/>
  <c r="D22" i="1"/>
  <c r="F22" i="1" s="1"/>
  <c r="D26" i="1"/>
  <c r="F26" i="1" s="1"/>
  <c r="D18" i="1"/>
  <c r="F18" i="1" s="1"/>
  <c r="D35" i="1"/>
  <c r="F35" i="1" s="1"/>
  <c r="D33" i="1"/>
  <c r="F33" i="1" s="1"/>
  <c r="D31" i="1"/>
  <c r="F31" i="1" s="1"/>
  <c r="D29" i="1"/>
  <c r="F29" i="1" s="1"/>
  <c r="D27" i="1"/>
  <c r="F27" i="1" s="1"/>
  <c r="D25" i="1"/>
  <c r="F25" i="1" s="1"/>
  <c r="D23" i="1"/>
  <c r="F23" i="1" s="1"/>
  <c r="D21" i="1"/>
  <c r="F21" i="1" s="1"/>
  <c r="D19" i="1"/>
  <c r="F19" i="1" s="1"/>
  <c r="D17" i="1"/>
  <c r="F17" i="1" s="1"/>
  <c r="D15" i="1"/>
  <c r="F15" i="1" s="1"/>
  <c r="D13" i="1"/>
  <c r="F13" i="1" s="1"/>
  <c r="D11" i="1"/>
  <c r="F11" i="1" s="1"/>
  <c r="D9" i="1"/>
  <c r="F9" i="1" s="1"/>
  <c r="D7" i="1"/>
  <c r="F7" i="1" s="1"/>
  <c r="D5" i="1"/>
  <c r="F5" i="1" s="1"/>
  <c r="D3" i="1"/>
  <c r="F3" i="1" s="1"/>
  <c r="D34" i="1"/>
  <c r="F34" i="1" s="1"/>
  <c r="D30" i="1"/>
  <c r="F30" i="1" s="1"/>
  <c r="D20" i="1"/>
  <c r="F20" i="1" s="1"/>
  <c r="D16" i="1"/>
  <c r="F16" i="1" s="1"/>
  <c r="D12" i="1"/>
  <c r="F12" i="1" s="1"/>
  <c r="D8" i="1"/>
  <c r="F8" i="1" s="1"/>
  <c r="D4" i="1"/>
  <c r="F4" i="1" s="1"/>
  <c r="D36" i="1"/>
  <c r="F36" i="1" s="1"/>
  <c r="D32" i="1"/>
  <c r="F32" i="1" s="1"/>
  <c r="D28" i="1"/>
  <c r="F28" i="1" s="1"/>
  <c r="D24" i="1"/>
  <c r="F24" i="1" s="1"/>
</calcChain>
</file>

<file path=xl/sharedStrings.xml><?xml version="1.0" encoding="utf-8"?>
<sst xmlns="http://schemas.openxmlformats.org/spreadsheetml/2006/main" count="73" uniqueCount="63">
  <si>
    <t>ITEM NAME</t>
  </si>
  <si>
    <t>PIZZA BASES (NOS)</t>
  </si>
  <si>
    <t>BURGER BUNS (NOS)</t>
  </si>
  <si>
    <t>SANDWICH BREADS (PCS)</t>
  </si>
  <si>
    <t>CHOCO LAVA (NOS)</t>
  </si>
  <si>
    <t>CHICKEN TIKKA (KG)</t>
  </si>
  <si>
    <t>CHICKEN FRY (KG)</t>
  </si>
  <si>
    <t>VEG MANCHURIA (Kg)</t>
  </si>
  <si>
    <t>VEG CUTLETS (PCS)</t>
  </si>
  <si>
    <t>PANEER (KG)</t>
  </si>
  <si>
    <t>SWEET CORN (KG/PKT)</t>
  </si>
  <si>
    <t>MUSHROOM (KG/PKT)</t>
  </si>
  <si>
    <t>CHEESE 112 KG</t>
  </si>
  <si>
    <t>CHEESE 1 KG</t>
  </si>
  <si>
    <t>PIZZA SAUCE (KG)</t>
  </si>
  <si>
    <t>MAYONISE (KG)</t>
  </si>
  <si>
    <t>CHILLI FLAKES (KG)</t>
  </si>
  <si>
    <t>CHIPS (PKT)</t>
  </si>
  <si>
    <t>ONIION (KG)</t>
  </si>
  <si>
    <t>CAPSICUM (KG)</t>
  </si>
  <si>
    <t>HYBRID TOMATO (KG)</t>
  </si>
  <si>
    <t>KEERA (KG)</t>
  </si>
  <si>
    <t>PIZZA BOXES</t>
  </si>
  <si>
    <t>BURGER BOXES</t>
  </si>
  <si>
    <t>KETCH UP (BOX/PKT)</t>
  </si>
  <si>
    <t>TOMATO SAUCE 5 LTR</t>
  </si>
  <si>
    <t>2 PC KAJU (KG)</t>
  </si>
  <si>
    <t>WATER BOTTLE 1 LTR</t>
  </si>
  <si>
    <t>COOL DRINK 200 ML</t>
  </si>
  <si>
    <t>COOL DRINK 500 ML</t>
  </si>
  <si>
    <t>ROMALI ROTI (NOS)</t>
  </si>
  <si>
    <t>SHAW CHICKEN (KGS)</t>
  </si>
  <si>
    <t>SHAW MAYONAISE (KG)</t>
  </si>
  <si>
    <t>SHAW PANEER (KG)</t>
  </si>
  <si>
    <t>SHAW PANEER MASALA</t>
  </si>
  <si>
    <t>ICE CREAM BULK 4 Lt</t>
  </si>
  <si>
    <t>PURCHASE QUANTITY</t>
  </si>
  <si>
    <t>SEND QUANTITY</t>
  </si>
  <si>
    <t>STOCK</t>
  </si>
  <si>
    <t>Branch name</t>
  </si>
  <si>
    <t>Date</t>
  </si>
  <si>
    <t>Item Name</t>
  </si>
  <si>
    <t>Per unit</t>
  </si>
  <si>
    <t>Total</t>
  </si>
  <si>
    <t>DATE</t>
  </si>
  <si>
    <t>PER UNIT</t>
  </si>
  <si>
    <t>AMOUNT</t>
  </si>
  <si>
    <t>TOTAL</t>
  </si>
  <si>
    <t>QUANTITY</t>
  </si>
  <si>
    <t>BRANCH NAME</t>
  </si>
  <si>
    <t>Shivam Road</t>
  </si>
  <si>
    <t>PURCHASE</t>
  </si>
  <si>
    <t>SEND</t>
  </si>
  <si>
    <t>BRANCH</t>
  </si>
  <si>
    <t>TOTAL AMOUNT</t>
  </si>
  <si>
    <t>Anandhbadh Malkajgiri (ANB)</t>
  </si>
  <si>
    <t>Asrao Nagar</t>
  </si>
  <si>
    <t>Trimulagiri</t>
  </si>
  <si>
    <t>Ecil</t>
  </si>
  <si>
    <t>Suchithra</t>
  </si>
  <si>
    <t>Asrao nagar (PG)</t>
  </si>
  <si>
    <t>Asrao Nagar (milk shake)</t>
  </si>
  <si>
    <t>Anandhbagh Malkajgiri (milk shake)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</si>
</sst>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 applyBorder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1" fillId="5" borderId="5" xfId="0" applyFont="1" applyFill="1" applyBorder="1"/>
    <xf numFmtId="0" fontId="0" fillId="4" borderId="0" xfId="0" applyFont="1" applyFill="1" applyBorder="1"/>
    <xf numFmtId="14" fontId="0" fillId="4" borderId="0" xfId="0" applyNumberFormat="1" applyFont="1" applyFill="1" applyBorder="1"/>
    <xf numFmtId="0" fontId="0" fillId="4" borderId="0" xfId="0" applyFont="1" applyFill="1"/>
    <xf numFmtId="0" fontId="0" fillId="4" borderId="0" xfId="0" applyFill="1" applyBorder="1" applyAlignment="1">
      <alignment horizontal="center"/>
    </xf>
    <xf numFmtId="14" fontId="0" fillId="4" borderId="0" xfId="0" applyNumberFormat="1" applyFont="1" applyFill="1" applyBorder="1" applyAlignment="1">
      <alignment horizontal="center"/>
    </xf>
    <xf numFmtId="0" fontId="2" fillId="3" borderId="3" xfId="0" applyFont="1" applyFill="1" applyBorder="1"/>
    <xf numFmtId="14" fontId="0" fillId="3" borderId="4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7" borderId="0" xfId="0" applyFill="1"/>
    <xf numFmtId="0" fontId="0" fillId="7" borderId="0" xfId="0" applyFont="1" applyFill="1" applyBorder="1"/>
    <xf numFmtId="14" fontId="0" fillId="7" borderId="0" xfId="0" applyNumberFormat="1" applyFont="1" applyFill="1" applyBorder="1"/>
    <xf numFmtId="0" fontId="0" fillId="7" borderId="0" xfId="0" applyFill="1" applyBorder="1"/>
    <xf numFmtId="14" fontId="0" fillId="7" borderId="0" xfId="0" applyNumberFormat="1" applyFill="1" applyBorder="1"/>
    <xf numFmtId="0" fontId="0" fillId="3" borderId="6" xfId="0" applyFont="1" applyFill="1" applyBorder="1"/>
    <xf numFmtId="14" fontId="0" fillId="4" borderId="7" xfId="0" applyNumberFormat="1" applyFont="1" applyFill="1" applyBorder="1"/>
    <xf numFmtId="0" fontId="0" fillId="4" borderId="7" xfId="0" applyFont="1" applyFill="1" applyBorder="1"/>
    <xf numFmtId="0" fontId="0" fillId="3" borderId="1" xfId="0" applyFill="1" applyBorder="1"/>
    <xf numFmtId="0" fontId="0" fillId="8" borderId="0" xfId="0" applyFill="1"/>
    <xf numFmtId="0" fontId="0" fillId="8" borderId="0" xfId="0" applyFill="1" applyBorder="1"/>
    <xf numFmtId="0" fontId="3" fillId="8" borderId="0" xfId="0" applyFont="1" applyFill="1"/>
    <xf numFmtId="0" fontId="0" fillId="9" borderId="8" xfId="0" applyFill="1" applyBorder="1"/>
    <xf numFmtId="0" fontId="0" fillId="9" borderId="2" xfId="0" applyFill="1" applyBorder="1"/>
    <xf numFmtId="0" fontId="0" fillId="9" borderId="9" xfId="0" applyFill="1" applyBorder="1"/>
    <xf numFmtId="0" fontId="0" fillId="0" borderId="10" xfId="0" applyFill="1" applyBorder="1"/>
    <xf numFmtId="0" fontId="0" fillId="0" borderId="1" xfId="0" applyFill="1" applyBorder="1"/>
    <xf numFmtId="0" fontId="0" fillId="0" borderId="3" xfId="0" applyFill="1" applyBorder="1"/>
    <xf numFmtId="0" fontId="0" fillId="0" borderId="11" xfId="0" applyFill="1" applyBorder="1"/>
    <xf numFmtId="0" fontId="0" fillId="0" borderId="4" xfId="0" applyFill="1" applyBorder="1"/>
    <xf numFmtId="0" fontId="0" fillId="0" borderId="12" xfId="0" applyFill="1" applyBorder="1"/>
    <xf numFmtId="0" fontId="1" fillId="10" borderId="5" xfId="0" applyFont="1" applyFill="1" applyBorder="1"/>
    <xf numFmtId="0" fontId="4" fillId="8" borderId="0" xfId="0" applyFont="1" applyFill="1" applyAlignment="1">
      <alignment horizontal="center"/>
    </xf>
    <xf numFmtId="0" fontId="0" fillId="3" borderId="5" xfId="0" applyFill="1" applyBorder="1"/>
    <xf numFmtId="164" fontId="0" fillId="3" borderId="5" xfId="0" applyNumberForma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0" fillId="3" borderId="4" xfId="0" applyFont="1" applyFill="1" applyBorder="1"/>
    <xf numFmtId="0" fontId="0" fillId="7" borderId="7" xfId="0" applyFont="1" applyFill="1" applyBorder="1"/>
    <xf numFmtId="14" fontId="0" fillId="7" borderId="7" xfId="0" applyNumberFormat="1" applyFont="1" applyFill="1" applyBorder="1"/>
    <xf numFmtId="14" fontId="4" fillId="4" borderId="0" xfId="0" applyNumberFormat="1" applyFont="1" applyFill="1" applyBorder="1"/>
    <xf numFmtId="0" fontId="4" fillId="4" borderId="0" xfId="0" applyFont="1" applyFill="1" applyBorder="1"/>
  </cellXfs>
  <cellStyles count="1">
    <cellStyle name="Normal" xfId="0" builtinId="0"/>
  </cellStyles>
  <dxfs count="19"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CDC800"/>
        </patternFill>
      </fill>
    </dxf>
    <dxf>
      <fill>
        <patternFill>
          <bgColor rgb="FFFFFF0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3737"/>
        </patternFill>
      </fill>
    </dxf>
    <dxf>
      <fill>
        <patternFill>
          <bgColor rgb="FFFC646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colors>
    <mruColors>
      <color rgb="FFFF9393"/>
      <color rgb="FFFC6460"/>
      <color rgb="FFFF3737"/>
      <color rgb="FFF7665B"/>
      <color rgb="FFCDC800"/>
      <color rgb="FF93BEE1"/>
      <color rgb="FFFF7575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80923866928701E-2"/>
          <c:y val="3.0134983127109112E-2"/>
          <c:w val="0.94801907613307135"/>
          <c:h val="0.749068366454193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'TOTAL SEND TO EACH BRACNH'!$B$1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'TOTAL SEND TO EACH BRACNH'!$A$2:$A$10</c:f>
              <c:strCache>
                <c:ptCount val="9"/>
                <c:pt idx="0">
                  <c:v>Anandhbadh Malkajgiri (ANB)</c:v>
                </c:pt>
                <c:pt idx="1">
                  <c:v>Asrao Nagar</c:v>
                </c:pt>
                <c:pt idx="2">
                  <c:v>Trimulagiri</c:v>
                </c:pt>
                <c:pt idx="3">
                  <c:v>Ecil</c:v>
                </c:pt>
                <c:pt idx="4">
                  <c:v>Shivam Road</c:v>
                </c:pt>
                <c:pt idx="5">
                  <c:v>Suchithra</c:v>
                </c:pt>
                <c:pt idx="6">
                  <c:v>Asrao nagar (PG)</c:v>
                </c:pt>
                <c:pt idx="7">
                  <c:v>Asrao Nagar (milk shake)</c:v>
                </c:pt>
                <c:pt idx="8">
                  <c:v>Anandhbagh Malkajgiri (milk shake)</c:v>
                </c:pt>
              </c:strCache>
            </c:strRef>
          </c:cat>
          <c:val>
            <c:numRef>
              <c:f>'TOTAL SEND TO EACH BRACNH'!$B$2:$B$10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4513-850F-990B55379280}"/>
            </c:ext>
          </c:extLst>
        </c:ser>
        <c:ser>
          <c:idx val="1"/>
          <c:order val="1"/>
          <c:tx>
            <c:strRef>
              <c:f>'TOTAL SEND TO EACH BRACNH'!$C$1</c:f>
              <c:strCache>
                <c:ptCount val="1"/>
                <c:pt idx="0">
                  <c:v>TOTAL AMOUNT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'TOTAL SEND TO EACH BRACNH'!$A$2:$A$10</c:f>
              <c:strCache>
                <c:ptCount val="9"/>
                <c:pt idx="0">
                  <c:v>Anandhbadh Malkajgiri (ANB)</c:v>
                </c:pt>
                <c:pt idx="1">
                  <c:v>Asrao Nagar</c:v>
                </c:pt>
                <c:pt idx="2">
                  <c:v>Trimulagiri</c:v>
                </c:pt>
                <c:pt idx="3">
                  <c:v>Ecil</c:v>
                </c:pt>
                <c:pt idx="4">
                  <c:v>Shivam Road</c:v>
                </c:pt>
                <c:pt idx="5">
                  <c:v>Suchithra</c:v>
                </c:pt>
                <c:pt idx="6">
                  <c:v>Asrao nagar (PG)</c:v>
                </c:pt>
                <c:pt idx="7">
                  <c:v>Asrao Nagar (milk shake)</c:v>
                </c:pt>
                <c:pt idx="8">
                  <c:v>Anandhbagh Malkajgiri (milk shake)</c:v>
                </c:pt>
              </c:strCache>
            </c:strRef>
          </c:cat>
          <c:val>
            <c:numRef>
              <c:f>'TOTAL SEND TO EACH BRACNH'!$C$2:$C$10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4513-850F-990B55379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212447"/>
        <c:axId val="931215775"/>
      </c:barChart>
      <c:catAx>
        <c:axId val="931212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15775"/>
        <c:crosses val="autoZero"/>
        <c:auto val="1"/>
        <c:lblAlgn val="ctr"/>
        <c:lblOffset val="100"/>
        <c:noMultiLvlLbl val="0"/>
      </c:catAx>
      <c:valAx>
        <c:axId val="931215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21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17</xdr:row>
      <xdr:rowOff>0</xdr:rowOff>
    </xdr:from>
    <xdr:to>
      <xdr:col>2</xdr:col>
      <xdr:colOff>419100</xdr:colOff>
      <xdr:row>20</xdr:row>
      <xdr:rowOff>7620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52C46D-5908-4462-8263-F055FEBBC2B5}"/>
            </a:ext>
          </a:extLst>
        </xdr:cNvPr>
        <xdr:cNvSpPr/>
      </xdr:nvSpPr>
      <xdr:spPr>
        <a:xfrm>
          <a:off x="601980" y="2926080"/>
          <a:ext cx="1226820" cy="5562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PURCHASE</a:t>
          </a:r>
        </a:p>
      </xdr:txBody>
    </xdr:sp>
    <xdr:clientData/>
  </xdr:twoCellAnchor>
  <xdr:twoCellAnchor>
    <xdr:from>
      <xdr:col>2</xdr:col>
      <xdr:colOff>708660</xdr:colOff>
      <xdr:row>17</xdr:row>
      <xdr:rowOff>7620</xdr:rowOff>
    </xdr:from>
    <xdr:to>
      <xdr:col>3</xdr:col>
      <xdr:colOff>228600</xdr:colOff>
      <xdr:row>20</xdr:row>
      <xdr:rowOff>15240</xdr:rowOff>
    </xdr:to>
    <xdr:sp macro="[0]!SE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2472B7-F0EF-44FC-B95B-7C916768AEC5}"/>
            </a:ext>
          </a:extLst>
        </xdr:cNvPr>
        <xdr:cNvSpPr/>
      </xdr:nvSpPr>
      <xdr:spPr>
        <a:xfrm>
          <a:off x="2118360" y="2933700"/>
          <a:ext cx="1226820" cy="5562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SEND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0</xdr:rowOff>
    </xdr:from>
    <xdr:to>
      <xdr:col>19</xdr:col>
      <xdr:colOff>373380</xdr:colOff>
      <xdr:row>23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2DDF30-719A-4543-B2E5-928C542DD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013F0-1236-4F72-B8B1-1547CC9CEF40}" name="Table1" displayName="Table1" ref="A1:D36" totalsRowShown="0" headerRowDxfId="8" dataDxfId="6" headerRowBorderDxfId="7" tableBorderDxfId="5" totalsRowBorderDxfId="4">
  <autoFilter ref="A1:D36" xr:uid="{A31013F0-1236-4F72-B8B1-1547CC9CEF40}"/>
  <sortState xmlns:xlrd2="http://schemas.microsoft.com/office/spreadsheetml/2017/richdata2" ref="A2:D36">
    <sortCondition ref="A2:A36"/>
  </sortState>
  <tableColumns count="4">
    <tableColumn id="1" xr3:uid="{F8BDCE1F-4881-49CF-AD08-36709ABFD21D}" name="ITEM NAME" dataDxfId="3"/>
    <tableColumn id="2" xr3:uid="{CEA530B5-771D-4655-9804-257774E0B4CC}" name="PURCHASE QUANTITY" dataDxfId="2">
      <calculatedColumnFormula>SUMIF(PURCHASE!B:B,Table1[[#This Row],[ITEM NAME]],PURCHASE!C:C)</calculatedColumnFormula>
    </tableColumn>
    <tableColumn id="3" xr3:uid="{3F2BCB80-42A1-46E3-81EC-3B7369EFDA29}" name="SEND QUANTITY" dataDxfId="1">
      <calculatedColumnFormula>SUMIF(BRANCH!C:C,Table1[[#This Row],[ITEM NAME]],BRANCH!D:D)</calculatedColumnFormula>
    </tableColumn>
    <tableColumn id="4" xr3:uid="{B0A92172-B369-4651-9DC3-4A166C4FBBB6}" name="STOCK" dataDxfId="0">
      <calculatedColumnFormula>Table1[[#This Row],[PURCHASE QUANTITY]]-Table1[[#This Row],[SEND QUANTITY]]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70318-E264-47BB-AAA6-92DFEF771968}">
  <sheetPr codeName="Sheet1"/>
  <dimension ref="A1:P24"/>
  <sheetViews>
    <sheetView workbookViewId="0">
      <selection activeCell="I15" sqref="I15"/>
    </sheetView>
  </sheetViews>
  <sheetFormatPr defaultRowHeight="14.4" x14ac:dyDescent="0.3"/>
  <cols>
    <col min="1" max="1" width="8.88671875" style="2"/>
    <col min="2" max="2" width="12.109375" style="2" bestFit="1" customWidth="1"/>
    <col min="3" max="3" width="29.88671875" style="2" bestFit="1" customWidth="1"/>
    <col min="4" max="16384" width="8.88671875" style="2"/>
  </cols>
  <sheetData>
    <row r="1" spans="1:16" x14ac:dyDescent="0.3">
      <c r="A1" s="1"/>
      <c r="B1" s="1"/>
      <c r="C1" s="1"/>
      <c r="D1" s="1"/>
    </row>
    <row r="2" spans="1:16" x14ac:dyDescent="0.3">
      <c r="A2" s="1"/>
      <c r="B2" s="1"/>
      <c r="C2" s="1"/>
      <c r="D2" s="1"/>
    </row>
    <row r="3" spans="1:16" x14ac:dyDescent="0.3">
      <c r="A3" s="1"/>
      <c r="B3" s="1"/>
      <c r="C3" s="1"/>
      <c r="D3" s="1"/>
      <c r="E3" s="1"/>
      <c r="F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3">
      <c r="A7" s="1"/>
      <c r="B7" s="1"/>
      <c r="C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B10" s="3" t="s">
        <v>39</v>
      </c>
      <c r="C10" s="4" t="s">
        <v>60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B11" s="3" t="s">
        <v>40</v>
      </c>
      <c r="C11" s="14">
        <f ca="1">TODAY()</f>
        <v>44638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B12" s="13" t="s">
        <v>41</v>
      </c>
      <c r="C12" s="1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6" x14ac:dyDescent="0.3">
      <c r="B13" s="3" t="s">
        <v>48</v>
      </c>
      <c r="C13" s="15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B14" s="3" t="s">
        <v>42</v>
      </c>
      <c r="C14" s="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B15" s="3" t="s">
        <v>43</v>
      </c>
      <c r="C15" s="4">
        <f>C13*C14</f>
        <v>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6:16" x14ac:dyDescent="0.3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6:16" x14ac:dyDescent="0.3"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6:16" x14ac:dyDescent="0.3"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6:16" x14ac:dyDescent="0.3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6:16" x14ac:dyDescent="0.3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6:16" x14ac:dyDescent="0.3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6:16" x14ac:dyDescent="0.3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6:16" x14ac:dyDescent="0.3"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</sheetData>
  <dataValidations count="1">
    <dataValidation type="list" allowBlank="1" showInputMessage="1" showErrorMessage="1" sqref="C10" xr:uid="{0E780832-EAA9-4817-901A-762896A514E8}">
      <formula1>"Anandhbadh Malkajgiri (ANB), Asrao Nagar, Trimulagiri, Ecil, Shivam Road, Suchithra, Asrao nagar (PG), Asrao Nagar (milk shake), Anandhbagh Malkajgiri (milk shake)"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C99D47-AA86-4FA2-99C9-03BF6D1B2176}">
          <x14:formula1>
            <xm:f>STOCK!$A$2:$A$36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CFE23-303E-4A9A-8C3A-C43DECA99D5C}">
  <dimension ref="A1:M72"/>
  <sheetViews>
    <sheetView workbookViewId="0">
      <selection activeCell="D8" sqref="D8"/>
    </sheetView>
  </sheetViews>
  <sheetFormatPr defaultRowHeight="14.4" x14ac:dyDescent="0.3"/>
  <cols>
    <col min="1" max="1" width="10.33203125" style="5" bestFit="1" customWidth="1"/>
    <col min="2" max="2" width="22" style="6" bestFit="1" customWidth="1"/>
    <col min="3" max="3" width="11.109375" style="5" customWidth="1"/>
    <col min="4" max="4" width="8.88671875" style="5" bestFit="1" customWidth="1"/>
    <col min="5" max="8" width="8.88671875" style="5"/>
    <col min="9" max="9" width="18.21875" style="5" bestFit="1" customWidth="1"/>
    <col min="10" max="16384" width="8.88671875" style="5"/>
  </cols>
  <sheetData>
    <row r="1" spans="1:13" ht="14.4" customHeight="1" x14ac:dyDescent="0.3">
      <c r="A1" s="7" t="s">
        <v>44</v>
      </c>
      <c r="B1" s="7" t="s">
        <v>0</v>
      </c>
      <c r="C1" s="7" t="s">
        <v>48</v>
      </c>
      <c r="D1" s="7" t="s">
        <v>45</v>
      </c>
      <c r="E1" s="7" t="s">
        <v>47</v>
      </c>
      <c r="I1" s="11"/>
      <c r="J1" s="6"/>
      <c r="K1" s="6"/>
      <c r="L1" s="6"/>
      <c r="M1" s="6"/>
    </row>
    <row r="2" spans="1:13" ht="14.4" customHeight="1" x14ac:dyDescent="0.3">
      <c r="A2" s="22"/>
      <c r="B2" s="22"/>
      <c r="C2" s="22"/>
      <c r="D2" s="22"/>
      <c r="E2" s="22"/>
      <c r="I2" s="11"/>
      <c r="J2" s="6"/>
      <c r="K2" s="6"/>
      <c r="L2" s="6"/>
      <c r="M2" s="6"/>
    </row>
    <row r="3" spans="1:13" ht="14.4" customHeight="1" x14ac:dyDescent="0.3">
      <c r="A3" s="23"/>
      <c r="B3" s="24"/>
      <c r="C3" s="24"/>
      <c r="D3" s="24"/>
      <c r="E3" s="24"/>
      <c r="I3" s="11"/>
      <c r="J3" s="6"/>
      <c r="K3" s="6"/>
      <c r="L3" s="6"/>
      <c r="M3" s="6"/>
    </row>
    <row r="4" spans="1:13" ht="14.4" customHeight="1" x14ac:dyDescent="0.3">
      <c r="A4" s="9"/>
      <c r="B4" s="8"/>
      <c r="C4" s="8"/>
      <c r="D4" s="8"/>
      <c r="E4" s="8"/>
      <c r="I4" s="11"/>
      <c r="J4" s="6"/>
      <c r="K4" s="6"/>
      <c r="L4" s="6"/>
      <c r="M4" s="6"/>
    </row>
    <row r="5" spans="1:13" ht="14.4" customHeight="1" x14ac:dyDescent="0.3">
      <c r="A5" s="9"/>
      <c r="B5" s="8"/>
      <c r="C5" s="8"/>
      <c r="D5" s="8"/>
      <c r="E5" s="8"/>
      <c r="I5" s="11"/>
      <c r="J5" s="6"/>
      <c r="K5" s="6"/>
      <c r="L5" s="6"/>
      <c r="M5" s="6"/>
    </row>
    <row r="6" spans="1:13" ht="14.4" customHeight="1" x14ac:dyDescent="0.3">
      <c r="A6" s="9"/>
      <c r="B6" s="8"/>
      <c r="C6" s="8"/>
      <c r="D6" s="8"/>
      <c r="E6" s="8"/>
      <c r="I6" s="11"/>
      <c r="J6" s="6"/>
      <c r="K6" s="6"/>
      <c r="L6" s="6"/>
      <c r="M6" s="6"/>
    </row>
    <row r="7" spans="1:13" ht="14.4" customHeight="1" x14ac:dyDescent="0.3">
      <c r="A7" s="9"/>
      <c r="B7" s="8"/>
      <c r="C7" s="8"/>
      <c r="D7" s="8"/>
      <c r="E7" s="8"/>
      <c r="I7" s="11"/>
      <c r="J7" s="6"/>
      <c r="K7" s="6"/>
      <c r="L7" s="6"/>
      <c r="M7" s="6"/>
    </row>
    <row r="8" spans="1:13" ht="14.4" customHeight="1" x14ac:dyDescent="0.3">
      <c r="A8" s="47"/>
      <c r="B8" s="48"/>
      <c r="C8" s="48"/>
      <c r="D8" s="48"/>
      <c r="E8" s="48"/>
      <c r="I8" s="11"/>
      <c r="J8" s="6"/>
      <c r="K8" s="6"/>
      <c r="L8" s="6"/>
      <c r="M8" s="6"/>
    </row>
    <row r="9" spans="1:13" ht="14.4" customHeight="1" x14ac:dyDescent="0.3">
      <c r="A9" s="9"/>
      <c r="B9" s="8"/>
      <c r="C9" s="8"/>
      <c r="D9" s="8"/>
      <c r="E9" s="8"/>
      <c r="I9" s="11"/>
      <c r="J9" s="6"/>
      <c r="K9" s="6"/>
      <c r="L9" s="6"/>
      <c r="M9" s="6"/>
    </row>
    <row r="10" spans="1:13" ht="14.4" customHeight="1" x14ac:dyDescent="0.3">
      <c r="A10" s="9"/>
      <c r="B10" s="8"/>
      <c r="C10" s="8"/>
      <c r="D10" s="8"/>
      <c r="E10" s="8"/>
      <c r="I10" s="11"/>
      <c r="J10" s="6"/>
      <c r="K10" s="6"/>
      <c r="L10" s="6"/>
      <c r="M10" s="6"/>
    </row>
    <row r="11" spans="1:13" ht="14.4" customHeight="1" x14ac:dyDescent="0.3">
      <c r="A11" s="9"/>
      <c r="B11" s="8"/>
      <c r="C11" s="8"/>
      <c r="D11" s="8"/>
      <c r="E11" s="8"/>
      <c r="I11" s="11"/>
      <c r="J11" s="6"/>
      <c r="K11" s="6"/>
      <c r="L11" s="6"/>
      <c r="M11" s="6"/>
    </row>
    <row r="12" spans="1:13" ht="14.4" customHeight="1" x14ac:dyDescent="0.3">
      <c r="A12" s="9"/>
      <c r="B12" s="8"/>
      <c r="C12" s="8"/>
      <c r="D12" s="8"/>
      <c r="E12" s="8"/>
      <c r="I12" s="11"/>
      <c r="J12" s="6"/>
      <c r="K12" s="6"/>
      <c r="L12" s="6"/>
      <c r="M12" s="6"/>
    </row>
    <row r="13" spans="1:13" ht="14.4" customHeight="1" x14ac:dyDescent="0.3">
      <c r="A13" s="9"/>
      <c r="B13" s="8"/>
      <c r="C13" s="8"/>
      <c r="D13" s="8"/>
      <c r="E13" s="8"/>
      <c r="I13" s="11"/>
      <c r="J13" s="6"/>
      <c r="K13" s="6"/>
      <c r="L13" s="6"/>
      <c r="M13" s="6"/>
    </row>
    <row r="14" spans="1:13" ht="14.4" customHeight="1" x14ac:dyDescent="0.3">
      <c r="A14" s="9"/>
      <c r="B14" s="8"/>
      <c r="C14" s="8"/>
      <c r="D14" s="8"/>
      <c r="E14" s="8"/>
      <c r="I14" s="11"/>
      <c r="J14" s="6"/>
      <c r="K14" s="6"/>
      <c r="L14" s="6"/>
      <c r="M14" s="6"/>
    </row>
    <row r="15" spans="1:13" ht="14.4" customHeight="1" x14ac:dyDescent="0.3">
      <c r="A15" s="9"/>
      <c r="B15" s="8"/>
      <c r="C15" s="8"/>
      <c r="D15" s="8"/>
      <c r="E15" s="8"/>
      <c r="I15" s="11"/>
      <c r="J15" s="6"/>
      <c r="K15" s="6"/>
      <c r="L15" s="6"/>
      <c r="M15" s="6"/>
    </row>
    <row r="16" spans="1:13" ht="14.4" customHeight="1" x14ac:dyDescent="0.3">
      <c r="A16" s="9"/>
      <c r="B16" s="8"/>
      <c r="C16" s="8"/>
      <c r="D16" s="8"/>
      <c r="E16" s="8"/>
      <c r="I16" s="11"/>
      <c r="J16" s="6"/>
      <c r="K16" s="6"/>
      <c r="L16" s="6"/>
      <c r="M16" s="6"/>
    </row>
    <row r="17" spans="1:13" ht="14.4" customHeight="1" x14ac:dyDescent="0.3">
      <c r="A17" s="9"/>
      <c r="B17" s="8"/>
      <c r="C17" s="8"/>
      <c r="D17" s="8"/>
      <c r="E17" s="8"/>
      <c r="I17" s="11"/>
      <c r="J17" s="6"/>
      <c r="K17" s="6"/>
      <c r="L17" s="6"/>
      <c r="M17" s="6"/>
    </row>
    <row r="18" spans="1:13" ht="14.4" customHeight="1" x14ac:dyDescent="0.3">
      <c r="A18" s="9"/>
      <c r="B18" s="8"/>
      <c r="C18" s="8"/>
      <c r="D18" s="8"/>
      <c r="E18" s="8"/>
      <c r="I18" s="11"/>
      <c r="J18" s="6"/>
      <c r="K18" s="6"/>
      <c r="L18" s="6"/>
      <c r="M18" s="6"/>
    </row>
    <row r="19" spans="1:13" ht="14.4" customHeight="1" x14ac:dyDescent="0.3">
      <c r="A19" s="9"/>
      <c r="B19" s="8"/>
      <c r="C19" s="8"/>
      <c r="D19" s="8"/>
      <c r="E19" s="8"/>
      <c r="I19" s="11"/>
      <c r="J19" s="6"/>
      <c r="K19" s="6"/>
      <c r="L19" s="6"/>
      <c r="M19" s="6"/>
    </row>
    <row r="20" spans="1:13" ht="14.4" customHeight="1" x14ac:dyDescent="0.3">
      <c r="A20" s="9"/>
      <c r="B20" s="8"/>
      <c r="C20" s="8"/>
      <c r="D20" s="8"/>
      <c r="E20" s="8"/>
      <c r="I20" s="11"/>
      <c r="J20" s="6"/>
      <c r="K20" s="6"/>
      <c r="L20" s="6"/>
      <c r="M20" s="6"/>
    </row>
    <row r="21" spans="1:13" ht="14.4" customHeight="1" x14ac:dyDescent="0.3">
      <c r="A21" s="9"/>
      <c r="B21" s="8"/>
      <c r="C21" s="8"/>
      <c r="D21" s="8"/>
      <c r="E21" s="8"/>
      <c r="I21" s="11"/>
      <c r="J21" s="6"/>
      <c r="K21" s="6"/>
      <c r="L21" s="6"/>
      <c r="M21" s="6"/>
    </row>
    <row r="22" spans="1:13" ht="14.4" customHeight="1" x14ac:dyDescent="0.3">
      <c r="A22" s="9"/>
      <c r="B22" s="8"/>
      <c r="C22" s="8"/>
      <c r="D22" s="8"/>
      <c r="E22" s="8"/>
      <c r="I22" s="11"/>
      <c r="J22" s="6"/>
      <c r="K22" s="6"/>
      <c r="L22" s="6"/>
      <c r="M22" s="6"/>
    </row>
    <row r="23" spans="1:13" ht="14.4" customHeight="1" x14ac:dyDescent="0.3">
      <c r="A23" s="9"/>
      <c r="B23" s="8"/>
      <c r="C23" s="8"/>
      <c r="D23" s="8"/>
      <c r="E23" s="8"/>
      <c r="I23" s="11"/>
      <c r="J23" s="6"/>
      <c r="K23" s="6"/>
      <c r="L23" s="6"/>
      <c r="M23" s="6"/>
    </row>
    <row r="24" spans="1:13" ht="14.4" customHeight="1" x14ac:dyDescent="0.3">
      <c r="A24" s="9"/>
      <c r="B24" s="8"/>
      <c r="C24" s="8"/>
      <c r="D24" s="8"/>
      <c r="E24" s="8"/>
      <c r="I24" s="11"/>
      <c r="J24" s="6"/>
      <c r="K24" s="6"/>
      <c r="L24" s="6"/>
      <c r="M24" s="6"/>
    </row>
    <row r="25" spans="1:13" ht="14.4" customHeight="1" x14ac:dyDescent="0.3">
      <c r="A25" s="9"/>
      <c r="B25" s="8"/>
      <c r="C25" s="8"/>
      <c r="D25" s="8"/>
      <c r="E25" s="8"/>
      <c r="I25" s="11"/>
      <c r="J25" s="6"/>
      <c r="K25" s="6"/>
      <c r="L25" s="6"/>
      <c r="M25" s="6"/>
    </row>
    <row r="26" spans="1:13" ht="14.4" customHeight="1" x14ac:dyDescent="0.3">
      <c r="A26" s="9"/>
      <c r="B26" s="8"/>
      <c r="C26" s="8"/>
      <c r="D26" s="8"/>
      <c r="E26" s="8"/>
      <c r="I26" s="11"/>
      <c r="J26" s="6"/>
      <c r="K26" s="6"/>
      <c r="L26" s="6"/>
      <c r="M26" s="6"/>
    </row>
    <row r="27" spans="1:13" ht="14.4" customHeight="1" x14ac:dyDescent="0.3">
      <c r="A27" s="9"/>
      <c r="B27" s="8"/>
      <c r="C27" s="8"/>
      <c r="D27" s="8"/>
      <c r="E27" s="8"/>
      <c r="I27" s="11"/>
      <c r="J27" s="6"/>
      <c r="K27" s="6"/>
      <c r="L27" s="6"/>
      <c r="M27" s="6"/>
    </row>
    <row r="28" spans="1:13" ht="14.4" customHeight="1" x14ac:dyDescent="0.3">
      <c r="A28" s="9"/>
      <c r="B28" s="8"/>
      <c r="C28" s="8"/>
      <c r="D28" s="8"/>
      <c r="E28" s="8"/>
      <c r="I28" s="11"/>
      <c r="J28" s="6"/>
      <c r="K28" s="6"/>
      <c r="L28" s="6"/>
      <c r="M28" s="6"/>
    </row>
    <row r="29" spans="1:13" ht="14.4" customHeight="1" x14ac:dyDescent="0.3">
      <c r="A29" s="9"/>
      <c r="B29" s="8"/>
      <c r="C29" s="8"/>
      <c r="D29" s="8"/>
      <c r="E29" s="8"/>
      <c r="I29" s="11"/>
      <c r="J29" s="6"/>
      <c r="K29" s="6"/>
      <c r="L29" s="6"/>
      <c r="M29" s="6"/>
    </row>
    <row r="30" spans="1:13" ht="14.4" customHeight="1" x14ac:dyDescent="0.3">
      <c r="A30" s="9"/>
      <c r="B30" s="8"/>
      <c r="C30" s="8"/>
      <c r="D30" s="8"/>
      <c r="E30" s="8"/>
      <c r="I30" s="11"/>
      <c r="J30" s="6"/>
      <c r="K30" s="6"/>
      <c r="L30" s="6"/>
      <c r="M30" s="6"/>
    </row>
    <row r="31" spans="1:13" ht="14.4" customHeight="1" x14ac:dyDescent="0.3">
      <c r="A31" s="9"/>
      <c r="B31" s="8"/>
      <c r="C31" s="8"/>
      <c r="D31" s="8"/>
      <c r="E31" s="8"/>
      <c r="I31" s="11"/>
      <c r="J31" s="6"/>
      <c r="K31" s="6"/>
      <c r="L31" s="6"/>
      <c r="M31" s="6"/>
    </row>
    <row r="32" spans="1:13" ht="14.4" customHeight="1" x14ac:dyDescent="0.3">
      <c r="A32" s="8"/>
      <c r="B32" s="8"/>
      <c r="C32" s="8"/>
      <c r="D32" s="8"/>
      <c r="E32" s="8"/>
      <c r="I32" s="11"/>
      <c r="J32" s="6"/>
      <c r="K32" s="6"/>
      <c r="L32" s="6"/>
      <c r="M32" s="6"/>
    </row>
    <row r="33" spans="1:13" ht="14.4" customHeight="1" x14ac:dyDescent="0.3">
      <c r="A33" s="8"/>
      <c r="B33" s="8"/>
      <c r="C33" s="8"/>
      <c r="D33" s="8"/>
      <c r="E33" s="8"/>
      <c r="I33" s="11"/>
      <c r="J33" s="6"/>
      <c r="K33" s="6"/>
      <c r="L33" s="6"/>
      <c r="M33" s="6"/>
    </row>
    <row r="34" spans="1:13" ht="14.4" customHeight="1" x14ac:dyDescent="0.3">
      <c r="A34" s="9"/>
      <c r="B34" s="8"/>
      <c r="C34" s="8"/>
      <c r="D34" s="8"/>
      <c r="E34" s="8"/>
      <c r="I34" s="11"/>
      <c r="J34" s="6"/>
      <c r="K34" s="6"/>
      <c r="L34" s="6"/>
      <c r="M34" s="6"/>
    </row>
    <row r="35" spans="1:13" ht="14.4" customHeight="1" x14ac:dyDescent="0.3">
      <c r="A35" s="9"/>
      <c r="B35" s="8"/>
      <c r="C35" s="8"/>
      <c r="D35" s="8"/>
      <c r="E35" s="8"/>
      <c r="I35" s="12"/>
      <c r="J35" s="8"/>
      <c r="K35" s="8"/>
      <c r="L35" s="8"/>
      <c r="M35" s="8"/>
    </row>
    <row r="36" spans="1:13" ht="14.4" customHeight="1" x14ac:dyDescent="0.3">
      <c r="A36" s="9"/>
      <c r="B36" s="8"/>
      <c r="C36" s="8"/>
      <c r="D36" s="8"/>
      <c r="E36" s="8"/>
    </row>
    <row r="37" spans="1:13" ht="14.4" customHeight="1" x14ac:dyDescent="0.3">
      <c r="A37" s="9"/>
      <c r="B37" s="8"/>
      <c r="C37" s="8"/>
      <c r="D37" s="8"/>
      <c r="E37" s="8"/>
    </row>
    <row r="38" spans="1:13" ht="14.4" customHeight="1" x14ac:dyDescent="0.3">
      <c r="A38" s="9"/>
      <c r="B38" s="8"/>
      <c r="C38" s="8"/>
      <c r="D38" s="8"/>
      <c r="E38" s="8"/>
    </row>
    <row r="39" spans="1:13" ht="14.4" customHeight="1" x14ac:dyDescent="0.3">
      <c r="A39" s="9"/>
      <c r="B39" s="8"/>
      <c r="C39" s="9"/>
      <c r="D39" s="8"/>
      <c r="E39" s="8"/>
      <c r="F39" s="10"/>
      <c r="G39" s="10"/>
    </row>
    <row r="40" spans="1:13" x14ac:dyDescent="0.3">
      <c r="A40" s="9"/>
      <c r="B40" s="8"/>
      <c r="C40" s="8"/>
      <c r="D40" s="8"/>
      <c r="E40" s="8"/>
    </row>
    <row r="41" spans="1:13" x14ac:dyDescent="0.3">
      <c r="B41" s="8"/>
    </row>
    <row r="42" spans="1:13" x14ac:dyDescent="0.3">
      <c r="B42" s="8"/>
    </row>
    <row r="43" spans="1:13" x14ac:dyDescent="0.3">
      <c r="B43" s="8"/>
    </row>
    <row r="44" spans="1:13" x14ac:dyDescent="0.3">
      <c r="B44" s="8"/>
    </row>
    <row r="45" spans="1:13" x14ac:dyDescent="0.3">
      <c r="B45" s="9"/>
      <c r="C45" s="10"/>
      <c r="D45" s="10"/>
      <c r="E45" s="10"/>
      <c r="F45" s="10"/>
    </row>
    <row r="46" spans="1:13" x14ac:dyDescent="0.3">
      <c r="B46" s="8"/>
    </row>
    <row r="47" spans="1:13" x14ac:dyDescent="0.3">
      <c r="B47" s="8"/>
    </row>
    <row r="48" spans="1:13" x14ac:dyDescent="0.3">
      <c r="B48" s="8"/>
    </row>
    <row r="49" spans="2:2" x14ac:dyDescent="0.3">
      <c r="B49" s="8"/>
    </row>
    <row r="50" spans="2:2" x14ac:dyDescent="0.3">
      <c r="B50" s="8"/>
    </row>
    <row r="51" spans="2:2" x14ac:dyDescent="0.3">
      <c r="B51" s="8"/>
    </row>
    <row r="52" spans="2:2" x14ac:dyDescent="0.3">
      <c r="B52" s="8"/>
    </row>
    <row r="53" spans="2:2" x14ac:dyDescent="0.3">
      <c r="B53" s="8"/>
    </row>
    <row r="54" spans="2:2" x14ac:dyDescent="0.3">
      <c r="B54" s="8"/>
    </row>
    <row r="55" spans="2:2" x14ac:dyDescent="0.3">
      <c r="B55" s="8"/>
    </row>
    <row r="56" spans="2:2" x14ac:dyDescent="0.3">
      <c r="B56" s="8"/>
    </row>
    <row r="57" spans="2:2" x14ac:dyDescent="0.3">
      <c r="B57" s="8"/>
    </row>
    <row r="58" spans="2:2" x14ac:dyDescent="0.3">
      <c r="B58" s="8"/>
    </row>
    <row r="59" spans="2:2" x14ac:dyDescent="0.3">
      <c r="B59" s="8"/>
    </row>
    <row r="60" spans="2:2" x14ac:dyDescent="0.3">
      <c r="B60" s="8"/>
    </row>
    <row r="61" spans="2:2" x14ac:dyDescent="0.3">
      <c r="B61" s="8"/>
    </row>
    <row r="62" spans="2:2" x14ac:dyDescent="0.3">
      <c r="B62" s="8"/>
    </row>
    <row r="63" spans="2:2" x14ac:dyDescent="0.3">
      <c r="B63" s="8"/>
    </row>
    <row r="64" spans="2:2" x14ac:dyDescent="0.3">
      <c r="B64" s="8"/>
    </row>
    <row r="65" spans="2:2" x14ac:dyDescent="0.3">
      <c r="B65" s="8"/>
    </row>
    <row r="66" spans="2:2" x14ac:dyDescent="0.3">
      <c r="B66" s="8"/>
    </row>
    <row r="67" spans="2:2" x14ac:dyDescent="0.3">
      <c r="B67" s="8"/>
    </row>
    <row r="68" spans="2:2" x14ac:dyDescent="0.3">
      <c r="B68" s="8"/>
    </row>
    <row r="69" spans="2:2" x14ac:dyDescent="0.3">
      <c r="B69" s="8"/>
    </row>
    <row r="70" spans="2:2" x14ac:dyDescent="0.3">
      <c r="B70" s="8"/>
    </row>
    <row r="71" spans="2:2" x14ac:dyDescent="0.3">
      <c r="B71" s="8"/>
    </row>
    <row r="72" spans="2:2" x14ac:dyDescent="0.3">
      <c r="B72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EE25-1CFF-4CCE-92BB-EFA37B312B20}">
  <dimension ref="A1:F15"/>
  <sheetViews>
    <sheetView workbookViewId="0">
      <selection activeCell="C9" sqref="C9"/>
    </sheetView>
  </sheetViews>
  <sheetFormatPr defaultRowHeight="14.4" x14ac:dyDescent="0.3"/>
  <cols>
    <col min="1" max="1" width="29.88671875" style="17" bestFit="1" customWidth="1"/>
    <col min="2" max="2" width="10.33203125" style="17" bestFit="1" customWidth="1"/>
    <col min="3" max="3" width="22" style="17" bestFit="1" customWidth="1"/>
    <col min="4" max="4" width="9.77734375" style="17" bestFit="1" customWidth="1"/>
    <col min="5" max="16384" width="8.88671875" style="17"/>
  </cols>
  <sheetData>
    <row r="1" spans="1:6" x14ac:dyDescent="0.3">
      <c r="A1" s="42" t="s">
        <v>49</v>
      </c>
      <c r="B1" s="42" t="s">
        <v>44</v>
      </c>
      <c r="C1" s="42" t="s">
        <v>0</v>
      </c>
      <c r="D1" s="42" t="s">
        <v>48</v>
      </c>
      <c r="E1" s="42" t="s">
        <v>45</v>
      </c>
      <c r="F1" s="42" t="s">
        <v>47</v>
      </c>
    </row>
    <row r="2" spans="1:6" x14ac:dyDescent="0.3">
      <c r="A2" s="44"/>
      <c r="B2" s="44"/>
      <c r="C2" s="44"/>
      <c r="D2" s="44"/>
      <c r="E2" s="44"/>
      <c r="F2" s="44"/>
    </row>
    <row r="3" spans="1:6" x14ac:dyDescent="0.3">
      <c r="A3" s="45"/>
      <c r="B3" s="46"/>
      <c r="C3" s="45"/>
      <c r="D3" s="45"/>
      <c r="E3" s="45"/>
      <c r="F3" s="45"/>
    </row>
    <row r="4" spans="1:6" x14ac:dyDescent="0.3">
      <c r="A4" s="18"/>
      <c r="B4" s="19"/>
      <c r="C4" s="18"/>
      <c r="D4" s="18"/>
      <c r="E4" s="18"/>
      <c r="F4" s="18"/>
    </row>
    <row r="5" spans="1:6" x14ac:dyDescent="0.3">
      <c r="A5" s="18"/>
      <c r="B5" s="19"/>
      <c r="C5" s="18"/>
      <c r="D5" s="18"/>
      <c r="E5" s="18"/>
      <c r="F5" s="18"/>
    </row>
    <row r="6" spans="1:6" x14ac:dyDescent="0.3">
      <c r="A6" s="18"/>
      <c r="B6" s="19"/>
      <c r="C6" s="18"/>
      <c r="D6" s="18"/>
      <c r="E6" s="18"/>
      <c r="F6" s="18"/>
    </row>
    <row r="7" spans="1:6" x14ac:dyDescent="0.3">
      <c r="A7" s="18"/>
      <c r="B7" s="19"/>
      <c r="C7" s="18"/>
      <c r="D7" s="18"/>
      <c r="E7" s="18"/>
      <c r="F7" s="18"/>
    </row>
    <row r="8" spans="1:6" x14ac:dyDescent="0.3">
      <c r="A8" s="18"/>
      <c r="B8" s="19"/>
      <c r="C8" s="18"/>
      <c r="D8" s="18"/>
      <c r="E8" s="18"/>
      <c r="F8" s="18"/>
    </row>
    <row r="9" spans="1:6" x14ac:dyDescent="0.3">
      <c r="A9" s="18"/>
      <c r="B9" s="19"/>
      <c r="C9" s="18"/>
      <c r="D9" s="18"/>
      <c r="E9" s="18"/>
      <c r="F9" s="18"/>
    </row>
    <row r="10" spans="1:6" x14ac:dyDescent="0.3">
      <c r="A10" s="18"/>
      <c r="B10" s="19"/>
      <c r="C10" s="18"/>
      <c r="D10" s="18"/>
      <c r="E10" s="18"/>
      <c r="F10" s="18"/>
    </row>
    <row r="11" spans="1:6" x14ac:dyDescent="0.3">
      <c r="A11" s="18"/>
      <c r="B11" s="19"/>
      <c r="C11" s="18"/>
      <c r="D11" s="18"/>
      <c r="E11" s="18"/>
      <c r="F11" s="18"/>
    </row>
    <row r="12" spans="1:6" x14ac:dyDescent="0.3">
      <c r="A12" s="18"/>
      <c r="B12" s="19"/>
      <c r="C12" s="18"/>
      <c r="D12" s="18"/>
      <c r="E12" s="18"/>
      <c r="F12" s="18"/>
    </row>
    <row r="13" spans="1:6" x14ac:dyDescent="0.3">
      <c r="A13" s="18"/>
      <c r="B13" s="19"/>
      <c r="C13" s="18"/>
      <c r="D13" s="18"/>
      <c r="E13" s="18"/>
      <c r="F13" s="18"/>
    </row>
    <row r="14" spans="1:6" x14ac:dyDescent="0.3">
      <c r="A14" s="18"/>
      <c r="B14" s="19"/>
      <c r="C14" s="18"/>
      <c r="D14" s="18"/>
      <c r="E14" s="18"/>
      <c r="F14" s="18"/>
    </row>
    <row r="15" spans="1:6" x14ac:dyDescent="0.3">
      <c r="A15" s="20"/>
      <c r="B15" s="21"/>
      <c r="C15" s="20"/>
      <c r="D15" s="20"/>
      <c r="E15" s="20"/>
      <c r="F15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9A22-8287-49BA-BFB5-DB1A9E529532}">
  <dimension ref="A1:C10"/>
  <sheetViews>
    <sheetView workbookViewId="0">
      <selection activeCell="B13" sqref="B13"/>
    </sheetView>
  </sheetViews>
  <sheetFormatPr defaultRowHeight="14.4" x14ac:dyDescent="0.3"/>
  <cols>
    <col min="1" max="1" width="29.88671875" style="17" bestFit="1" customWidth="1"/>
    <col min="2" max="2" width="9.77734375" style="17" bestFit="1" customWidth="1"/>
    <col min="3" max="3" width="14.6640625" style="17" bestFit="1" customWidth="1"/>
    <col min="4" max="16384" width="8.88671875" style="17"/>
  </cols>
  <sheetData>
    <row r="1" spans="1:3" x14ac:dyDescent="0.3">
      <c r="A1" s="43" t="s">
        <v>53</v>
      </c>
      <c r="B1" s="43" t="s">
        <v>48</v>
      </c>
      <c r="C1" s="43" t="s">
        <v>54</v>
      </c>
    </row>
    <row r="2" spans="1:3" x14ac:dyDescent="0.3">
      <c r="A2" s="25" t="s">
        <v>55</v>
      </c>
      <c r="B2" s="25">
        <f>SUMIF(BRANCH!A:A,'TOTAL SEND TO EACH BRACNH'!A2,BRANCH!D:D)</f>
        <v>0</v>
      </c>
      <c r="C2" s="25">
        <f>SUMIF(BRANCH!A:A,'TOTAL SEND TO EACH BRACNH'!A2,BRANCH!F:F)</f>
        <v>0</v>
      </c>
    </row>
    <row r="3" spans="1:3" x14ac:dyDescent="0.3">
      <c r="A3" s="25" t="s">
        <v>56</v>
      </c>
      <c r="B3" s="25">
        <f>SUMIF(BRANCH!A:A,'TOTAL SEND TO EACH BRACNH'!A3,BRANCH!D:D)</f>
        <v>0</v>
      </c>
      <c r="C3" s="25">
        <f>SUMIF(BRANCH!A:A,'TOTAL SEND TO EACH BRACNH'!A3,BRANCH!F:F)</f>
        <v>0</v>
      </c>
    </row>
    <row r="4" spans="1:3" x14ac:dyDescent="0.3">
      <c r="A4" s="25" t="s">
        <v>57</v>
      </c>
      <c r="B4" s="25">
        <f>SUMIF(BRANCH!A:A,'TOTAL SEND TO EACH BRACNH'!A4,BRANCH!D:D)</f>
        <v>0</v>
      </c>
      <c r="C4" s="25">
        <f>SUMIF(BRANCH!A:A,'TOTAL SEND TO EACH BRACNH'!A4,BRANCH!F:F)</f>
        <v>0</v>
      </c>
    </row>
    <row r="5" spans="1:3" x14ac:dyDescent="0.3">
      <c r="A5" s="25" t="s">
        <v>58</v>
      </c>
      <c r="B5" s="25">
        <f>SUMIF(BRANCH!A:A,'TOTAL SEND TO EACH BRACNH'!A5,BRANCH!D:D)</f>
        <v>0</v>
      </c>
      <c r="C5" s="25">
        <f>SUMIF(BRANCH!A:A,'TOTAL SEND TO EACH BRACNH'!A5,BRANCH!F:F)</f>
        <v>0</v>
      </c>
    </row>
    <row r="6" spans="1:3" x14ac:dyDescent="0.3">
      <c r="A6" s="25" t="s">
        <v>50</v>
      </c>
      <c r="B6" s="25">
        <f>SUMIF(BRANCH!A:A,'TOTAL SEND TO EACH BRACNH'!A6,BRANCH!D:D)</f>
        <v>0</v>
      </c>
      <c r="C6" s="25">
        <f>SUMIF(BRANCH!A:A,'TOTAL SEND TO EACH BRACNH'!A6,BRANCH!F:F)</f>
        <v>0</v>
      </c>
    </row>
    <row r="7" spans="1:3" x14ac:dyDescent="0.3">
      <c r="A7" s="25" t="s">
        <v>59</v>
      </c>
      <c r="B7" s="25">
        <f>SUMIF(BRANCH!A:A,'TOTAL SEND TO EACH BRACNH'!A7,BRANCH!D:D)</f>
        <v>0</v>
      </c>
      <c r="C7" s="25">
        <f>SUMIF(BRANCH!A:A,'TOTAL SEND TO EACH BRACNH'!A7,BRANCH!F:F)</f>
        <v>0</v>
      </c>
    </row>
    <row r="8" spans="1:3" x14ac:dyDescent="0.3">
      <c r="A8" s="25" t="s">
        <v>60</v>
      </c>
      <c r="B8" s="25">
        <f>SUMIF(BRANCH!A:A,'TOTAL SEND TO EACH BRACNH'!A8,BRANCH!D:D)</f>
        <v>0</v>
      </c>
      <c r="C8" s="25">
        <f>SUMIF(BRANCH!A:A,'TOTAL SEND TO EACH BRACNH'!A8,BRANCH!F:F)</f>
        <v>0</v>
      </c>
    </row>
    <row r="9" spans="1:3" x14ac:dyDescent="0.3">
      <c r="A9" s="25" t="s">
        <v>61</v>
      </c>
      <c r="B9" s="25">
        <f>SUMIF(BRANCH!A:A,'TOTAL SEND TO EACH BRACNH'!A9,BRANCH!D:D)</f>
        <v>0</v>
      </c>
      <c r="C9" s="25">
        <f>SUMIF(BRANCH!A:A,'TOTAL SEND TO EACH BRACNH'!A9,BRANCH!F:F)</f>
        <v>0</v>
      </c>
    </row>
    <row r="10" spans="1:3" x14ac:dyDescent="0.3">
      <c r="A10" s="25" t="s">
        <v>62</v>
      </c>
      <c r="B10" s="25">
        <f>SUMIF(BRANCH!A:A,'TOTAL SEND TO EACH BRACNH'!A10,BRANCH!D:D)</f>
        <v>0</v>
      </c>
      <c r="C10" s="25">
        <f>SUMIF(BRANCH!A:A,'TOTAL SEND TO EACH BRACNH'!A10,BRANCH!F:F)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06DC7-6D25-C441-9B59-E88F424DE453}">
  <sheetPr codeName="Sheet3"/>
  <dimension ref="A1:M38"/>
  <sheetViews>
    <sheetView tabSelected="1" zoomScale="90" zoomScaleNormal="90" zoomScaleSheetLayoutView="100" workbookViewId="0">
      <selection activeCell="D4" sqref="D4"/>
    </sheetView>
  </sheetViews>
  <sheetFormatPr defaultRowHeight="14.4" x14ac:dyDescent="0.3"/>
  <cols>
    <col min="1" max="1" width="22" style="26" bestFit="1" customWidth="1"/>
    <col min="2" max="2" width="21.21875" style="26" customWidth="1"/>
    <col min="3" max="3" width="16.6640625" style="26" customWidth="1"/>
    <col min="4" max="4" width="22" style="26" bestFit="1" customWidth="1"/>
    <col min="5" max="5" width="8.88671875" style="26"/>
    <col min="6" max="6" width="13.109375" style="26" bestFit="1" customWidth="1"/>
    <col min="7" max="7" width="10.77734375" style="26" bestFit="1" customWidth="1"/>
    <col min="8" max="8" width="12.77734375" style="26" bestFit="1" customWidth="1"/>
    <col min="9" max="9" width="9.6640625" style="26" bestFit="1" customWidth="1"/>
    <col min="10" max="10" width="10.44140625" style="26" bestFit="1" customWidth="1"/>
    <col min="11" max="11" width="10.109375" style="26" bestFit="1" customWidth="1"/>
    <col min="12" max="12" width="9.77734375" style="26" bestFit="1" customWidth="1"/>
    <col min="13" max="16384" width="8.88671875" style="26"/>
  </cols>
  <sheetData>
    <row r="1" spans="1:13" x14ac:dyDescent="0.3">
      <c r="A1" s="29" t="s">
        <v>0</v>
      </c>
      <c r="B1" s="30" t="s">
        <v>36</v>
      </c>
      <c r="C1" s="30" t="s">
        <v>37</v>
      </c>
      <c r="D1" s="31" t="s">
        <v>38</v>
      </c>
      <c r="L1" s="38" t="s">
        <v>48</v>
      </c>
      <c r="M1" s="38" t="s">
        <v>46</v>
      </c>
    </row>
    <row r="2" spans="1:13" x14ac:dyDescent="0.3">
      <c r="A2" s="32" t="s">
        <v>26</v>
      </c>
      <c r="B2" s="33">
        <f>SUMIF(PURCHASE!B:B,Table1[[#This Row],[ITEM NAME]],PURCHASE!C:C)</f>
        <v>0</v>
      </c>
      <c r="C2" s="33">
        <f>SUMIF(BRANCH!C:C,Table1[[#This Row],[ITEM NAME]],BRANCH!D:D)</f>
        <v>0</v>
      </c>
      <c r="D2" s="34">
        <f>Table1[[#This Row],[PURCHASE QUANTITY]]-Table1[[#This Row],[SEND QUANTITY]]</f>
        <v>0</v>
      </c>
      <c r="F2" s="39" t="str">
        <f>IF(Table1[[#This Row],[STOCK]]&gt;5,"IN STOCK",IF(Table1[[#This Row],[STOCK]]=0,"NOT IN STOCK",IF(Table1[[#This Row],[STOCK]]&lt;5,"LOW STOCK","")))</f>
        <v>NOT IN STOCK</v>
      </c>
      <c r="K2" s="38" t="s">
        <v>51</v>
      </c>
      <c r="L2" s="40">
        <f>SUM(PURCHASE!C:C)</f>
        <v>0</v>
      </c>
      <c r="M2" s="41">
        <f>SUM(PURCHASE!E:E)</f>
        <v>0</v>
      </c>
    </row>
    <row r="3" spans="1:13" x14ac:dyDescent="0.3">
      <c r="A3" s="32" t="s">
        <v>23</v>
      </c>
      <c r="B3" s="33">
        <f>SUMIF(PURCHASE!B:B,Table1[[#This Row],[ITEM NAME]],PURCHASE!C:C)</f>
        <v>0</v>
      </c>
      <c r="C3" s="33">
        <f>SUMIF(BRANCH!C:C,Table1[[#This Row],[ITEM NAME]],BRANCH!D:D)</f>
        <v>0</v>
      </c>
      <c r="D3" s="34">
        <f>Table1[[#This Row],[PURCHASE QUANTITY]]-Table1[[#This Row],[SEND QUANTITY]]</f>
        <v>0</v>
      </c>
      <c r="F3" s="39" t="str">
        <f>IF(Table1[[#This Row],[STOCK]]&gt;5,"IN STOCK",IF(Table1[[#This Row],[STOCK]]=0,"NOT IN STOCK",IF(Table1[[#This Row],[STOCK]]&lt;5,"LOW STOCK","")))</f>
        <v>NOT IN STOCK</v>
      </c>
      <c r="K3" s="38" t="s">
        <v>52</v>
      </c>
      <c r="L3" s="40">
        <f>SUM(BRANCH!D:D)</f>
        <v>0</v>
      </c>
      <c r="M3" s="41">
        <f>SUM(BRANCH!F:F)</f>
        <v>0</v>
      </c>
    </row>
    <row r="4" spans="1:13" x14ac:dyDescent="0.3">
      <c r="A4" s="32" t="s">
        <v>2</v>
      </c>
      <c r="B4" s="33">
        <f>SUMIF(PURCHASE!B:B,Table1[[#This Row],[ITEM NAME]],PURCHASE!C:C)</f>
        <v>0</v>
      </c>
      <c r="C4" s="33">
        <f>SUMIF(BRANCH!C:C,Table1[[#This Row],[ITEM NAME]],BRANCH!D:D)</f>
        <v>0</v>
      </c>
      <c r="D4" s="34">
        <f>Table1[[#This Row],[PURCHASE QUANTITY]]-Table1[[#This Row],[SEND QUANTITY]]</f>
        <v>0</v>
      </c>
      <c r="F4" s="39" t="str">
        <f>IF(Table1[[#This Row],[STOCK]]&gt;5,"IN STOCK",IF(Table1[[#This Row],[STOCK]]=0,"NOT IN STOCK",IF(Table1[[#This Row],[STOCK]]&lt;5,"LOW STOCK","")))</f>
        <v>NOT IN STOCK</v>
      </c>
      <c r="H4" s="27"/>
      <c r="I4" s="27"/>
    </row>
    <row r="5" spans="1:13" x14ac:dyDescent="0.3">
      <c r="A5" s="32" t="s">
        <v>19</v>
      </c>
      <c r="B5" s="33">
        <f>SUMIF(PURCHASE!B:B,Table1[[#This Row],[ITEM NAME]],PURCHASE!C:C)</f>
        <v>0</v>
      </c>
      <c r="C5" s="33">
        <f>SUMIF(BRANCH!C:C,Table1[[#This Row],[ITEM NAME]],BRANCH!D:D)</f>
        <v>0</v>
      </c>
      <c r="D5" s="34">
        <f>Table1[[#This Row],[PURCHASE QUANTITY]]-Table1[[#This Row],[SEND QUANTITY]]</f>
        <v>0</v>
      </c>
      <c r="F5" s="39" t="str">
        <f>IF(Table1[[#This Row],[STOCK]]&gt;5,"IN STOCK",IF(Table1[[#This Row],[STOCK]]=0,"NOT IN STOCK",IF(Table1[[#This Row],[STOCK]]&lt;5,"LOW STOCK","")))</f>
        <v>NOT IN STOCK</v>
      </c>
      <c r="H5" s="27"/>
      <c r="I5" s="27"/>
    </row>
    <row r="6" spans="1:13" x14ac:dyDescent="0.3">
      <c r="A6" s="32" t="s">
        <v>13</v>
      </c>
      <c r="B6" s="33">
        <f>SUMIF(PURCHASE!B:B,Table1[[#This Row],[ITEM NAME]],PURCHASE!C:C)</f>
        <v>0</v>
      </c>
      <c r="C6" s="33">
        <f>SUMIF(BRANCH!C:C,Table1[[#This Row],[ITEM NAME]],BRANCH!D:D)</f>
        <v>0</v>
      </c>
      <c r="D6" s="34">
        <f>Table1[[#This Row],[PURCHASE QUANTITY]]-Table1[[#This Row],[SEND QUANTITY]]</f>
        <v>0</v>
      </c>
      <c r="F6" s="39" t="str">
        <f>IF(Table1[[#This Row],[STOCK]]&gt;5,"IN STOCK",IF(Table1[[#This Row],[STOCK]]=0,"NOT IN STOCK",IF(Table1[[#This Row],[STOCK]]&lt;5,"LOW STOCK","")))</f>
        <v>NOT IN STOCK</v>
      </c>
      <c r="H6" s="27"/>
      <c r="I6" s="27"/>
    </row>
    <row r="7" spans="1:13" x14ac:dyDescent="0.3">
      <c r="A7" s="32" t="s">
        <v>12</v>
      </c>
      <c r="B7" s="33">
        <f>SUMIF(PURCHASE!B:B,Table1[[#This Row],[ITEM NAME]],PURCHASE!C:C)</f>
        <v>0</v>
      </c>
      <c r="C7" s="33">
        <f>SUMIF(BRANCH!C:C,Table1[[#This Row],[ITEM NAME]],BRANCH!D:D)</f>
        <v>0</v>
      </c>
      <c r="D7" s="34">
        <f>Table1[[#This Row],[PURCHASE QUANTITY]]-Table1[[#This Row],[SEND QUANTITY]]</f>
        <v>0</v>
      </c>
      <c r="F7" s="39" t="str">
        <f>IF(Table1[[#This Row],[STOCK]]&gt;5,"IN STOCK",IF(Table1[[#This Row],[STOCK]]=0,"NOT IN STOCK",IF(Table1[[#This Row],[STOCK]]&lt;5,"LOW STOCK","")))</f>
        <v>NOT IN STOCK</v>
      </c>
    </row>
    <row r="8" spans="1:13" x14ac:dyDescent="0.3">
      <c r="A8" s="32" t="s">
        <v>6</v>
      </c>
      <c r="B8" s="33">
        <f>SUMIF(PURCHASE!B:B,Table1[[#This Row],[ITEM NAME]],PURCHASE!C:C)</f>
        <v>0</v>
      </c>
      <c r="C8" s="33">
        <f>SUMIF(BRANCH!C:C,Table1[[#This Row],[ITEM NAME]],BRANCH!D:D)</f>
        <v>0</v>
      </c>
      <c r="D8" s="34">
        <f>Table1[[#This Row],[PURCHASE QUANTITY]]-Table1[[#This Row],[SEND QUANTITY]]</f>
        <v>0</v>
      </c>
      <c r="F8" s="39" t="str">
        <f>IF(Table1[[#This Row],[STOCK]]&gt;5,"IN STOCK",IF(Table1[[#This Row],[STOCK]]=0,"NOT IN STOCK",IF(Table1[[#This Row],[STOCK]]&lt;5,"LOW STOCK","")))</f>
        <v>NOT IN STOCK</v>
      </c>
    </row>
    <row r="9" spans="1:13" x14ac:dyDescent="0.3">
      <c r="A9" s="32" t="s">
        <v>5</v>
      </c>
      <c r="B9" s="33">
        <f>SUMIF(PURCHASE!B:B,Table1[[#This Row],[ITEM NAME]],PURCHASE!C:C)</f>
        <v>0</v>
      </c>
      <c r="C9" s="33">
        <f>SUMIF(BRANCH!C:C,Table1[[#This Row],[ITEM NAME]],BRANCH!D:D)</f>
        <v>0</v>
      </c>
      <c r="D9" s="34">
        <f>Table1[[#This Row],[PURCHASE QUANTITY]]-Table1[[#This Row],[SEND QUANTITY]]</f>
        <v>0</v>
      </c>
      <c r="F9" s="39" t="str">
        <f>IF(Table1[[#This Row],[STOCK]]&gt;5,"IN STOCK",IF(Table1[[#This Row],[STOCK]]=0,"NOT IN STOCK",IF(Table1[[#This Row],[STOCK]]&lt;5,"LOW STOCK","")))</f>
        <v>NOT IN STOCK</v>
      </c>
    </row>
    <row r="10" spans="1:13" x14ac:dyDescent="0.3">
      <c r="A10" s="32" t="s">
        <v>16</v>
      </c>
      <c r="B10" s="33">
        <f>SUMIF(PURCHASE!B:B,Table1[[#This Row],[ITEM NAME]],PURCHASE!C:C)</f>
        <v>0</v>
      </c>
      <c r="C10" s="33">
        <f>SUMIF(BRANCH!C:C,Table1[[#This Row],[ITEM NAME]],BRANCH!D:D)</f>
        <v>0</v>
      </c>
      <c r="D10" s="34">
        <f>Table1[[#This Row],[PURCHASE QUANTITY]]-Table1[[#This Row],[SEND QUANTITY]]</f>
        <v>0</v>
      </c>
      <c r="F10" s="39" t="str">
        <f>IF(Table1[[#This Row],[STOCK]]&gt;5,"IN STOCK",IF(Table1[[#This Row],[STOCK]]=0,"NOT IN STOCK",IF(Table1[[#This Row],[STOCK]]&lt;5,"LOW STOCK","")))</f>
        <v>NOT IN STOCK</v>
      </c>
    </row>
    <row r="11" spans="1:13" x14ac:dyDescent="0.3">
      <c r="A11" s="32" t="s">
        <v>17</v>
      </c>
      <c r="B11" s="33">
        <f>SUMIF(PURCHASE!B:B,Table1[[#This Row],[ITEM NAME]],PURCHASE!C:C)</f>
        <v>0</v>
      </c>
      <c r="C11" s="33">
        <f>SUMIF(BRANCH!C:C,Table1[[#This Row],[ITEM NAME]],BRANCH!D:D)</f>
        <v>0</v>
      </c>
      <c r="D11" s="34">
        <f>Table1[[#This Row],[PURCHASE QUANTITY]]-Table1[[#This Row],[SEND QUANTITY]]</f>
        <v>0</v>
      </c>
      <c r="F11" s="39" t="str">
        <f>IF(Table1[[#This Row],[STOCK]]&gt;5,"IN STOCK",IF(Table1[[#This Row],[STOCK]]=0,"NOT IN STOCK",IF(Table1[[#This Row],[STOCK]]&lt;5,"LOW STOCK","")))</f>
        <v>NOT IN STOCK</v>
      </c>
    </row>
    <row r="12" spans="1:13" x14ac:dyDescent="0.3">
      <c r="A12" s="32" t="s">
        <v>4</v>
      </c>
      <c r="B12" s="33">
        <f>SUMIF(PURCHASE!B:B,Table1[[#This Row],[ITEM NAME]],PURCHASE!C:C)</f>
        <v>0</v>
      </c>
      <c r="C12" s="33">
        <f>SUMIF(BRANCH!C:C,Table1[[#This Row],[ITEM NAME]],BRANCH!D:D)</f>
        <v>0</v>
      </c>
      <c r="D12" s="34">
        <f>Table1[[#This Row],[PURCHASE QUANTITY]]-Table1[[#This Row],[SEND QUANTITY]]</f>
        <v>0</v>
      </c>
      <c r="F12" s="39" t="str">
        <f>IF(Table1[[#This Row],[STOCK]]&gt;5,"IN STOCK",IF(Table1[[#This Row],[STOCK]]=0,"NOT IN STOCK",IF(Table1[[#This Row],[STOCK]]&lt;5,"LOW STOCK","")))</f>
        <v>NOT IN STOCK</v>
      </c>
    </row>
    <row r="13" spans="1:13" x14ac:dyDescent="0.3">
      <c r="A13" s="32" t="s">
        <v>28</v>
      </c>
      <c r="B13" s="33">
        <f>SUMIF(PURCHASE!B:B,Table1[[#This Row],[ITEM NAME]],PURCHASE!C:C)</f>
        <v>0</v>
      </c>
      <c r="C13" s="33">
        <f>SUMIF(BRANCH!C:C,Table1[[#This Row],[ITEM NAME]],BRANCH!D:D)</f>
        <v>0</v>
      </c>
      <c r="D13" s="34">
        <f>Table1[[#This Row],[PURCHASE QUANTITY]]-Table1[[#This Row],[SEND QUANTITY]]</f>
        <v>0</v>
      </c>
      <c r="F13" s="39" t="str">
        <f>IF(Table1[[#This Row],[STOCK]]&gt;5,"IN STOCK",IF(Table1[[#This Row],[STOCK]]=0,"NOT IN STOCK",IF(Table1[[#This Row],[STOCK]]&lt;5,"LOW STOCK","")))</f>
        <v>NOT IN STOCK</v>
      </c>
    </row>
    <row r="14" spans="1:13" x14ac:dyDescent="0.3">
      <c r="A14" s="32" t="s">
        <v>29</v>
      </c>
      <c r="B14" s="33">
        <f>SUMIF(PURCHASE!B:B,Table1[[#This Row],[ITEM NAME]],PURCHASE!C:C)</f>
        <v>0</v>
      </c>
      <c r="C14" s="33">
        <f>SUMIF(BRANCH!C:C,Table1[[#This Row],[ITEM NAME]],BRANCH!D:D)</f>
        <v>0</v>
      </c>
      <c r="D14" s="34">
        <f>Table1[[#This Row],[PURCHASE QUANTITY]]-Table1[[#This Row],[SEND QUANTITY]]</f>
        <v>0</v>
      </c>
      <c r="F14" s="39" t="str">
        <f>IF(Table1[[#This Row],[STOCK]]&gt;5,"IN STOCK",IF(Table1[[#This Row],[STOCK]]=0,"NOT IN STOCK",IF(Table1[[#This Row],[STOCK]]&lt;5,"LOW STOCK","")))</f>
        <v>NOT IN STOCK</v>
      </c>
    </row>
    <row r="15" spans="1:13" x14ac:dyDescent="0.3">
      <c r="A15" s="32" t="s">
        <v>20</v>
      </c>
      <c r="B15" s="33">
        <f>SUMIF(PURCHASE!B:B,Table1[[#This Row],[ITEM NAME]],PURCHASE!C:C)</f>
        <v>0</v>
      </c>
      <c r="C15" s="33">
        <f>SUMIF(BRANCH!C:C,Table1[[#This Row],[ITEM NAME]],BRANCH!D:D)</f>
        <v>0</v>
      </c>
      <c r="D15" s="34">
        <f>Table1[[#This Row],[PURCHASE QUANTITY]]-Table1[[#This Row],[SEND QUANTITY]]</f>
        <v>0</v>
      </c>
      <c r="F15" s="39" t="str">
        <f>IF(Table1[[#This Row],[STOCK]]&gt;5,"IN STOCK",IF(Table1[[#This Row],[STOCK]]=0,"NOT IN STOCK",IF(Table1[[#This Row],[STOCK]]&lt;5,"LOW STOCK","")))</f>
        <v>NOT IN STOCK</v>
      </c>
    </row>
    <row r="16" spans="1:13" x14ac:dyDescent="0.3">
      <c r="A16" s="32" t="s">
        <v>35</v>
      </c>
      <c r="B16" s="33">
        <f>SUMIF(PURCHASE!B:B,Table1[[#This Row],[ITEM NAME]],PURCHASE!C:C)</f>
        <v>0</v>
      </c>
      <c r="C16" s="33">
        <f>SUMIF(BRANCH!C:C,Table1[[#This Row],[ITEM NAME]],BRANCH!D:D)</f>
        <v>0</v>
      </c>
      <c r="D16" s="34">
        <f>Table1[[#This Row],[PURCHASE QUANTITY]]-Table1[[#This Row],[SEND QUANTITY]]</f>
        <v>0</v>
      </c>
      <c r="F16" s="39" t="str">
        <f>IF(Table1[[#This Row],[STOCK]]&gt;5,"IN STOCK",IF(Table1[[#This Row],[STOCK]]=0,"NOT IN STOCK",IF(Table1[[#This Row],[STOCK]]&lt;5,"LOW STOCK","")))</f>
        <v>NOT IN STOCK</v>
      </c>
    </row>
    <row r="17" spans="1:6" x14ac:dyDescent="0.3">
      <c r="A17" s="32" t="s">
        <v>21</v>
      </c>
      <c r="B17" s="33">
        <f>SUMIF(PURCHASE!B:B,Table1[[#This Row],[ITEM NAME]],PURCHASE!C:C)</f>
        <v>0</v>
      </c>
      <c r="C17" s="33">
        <f>SUMIF(BRANCH!C:C,Table1[[#This Row],[ITEM NAME]],BRANCH!D:D)</f>
        <v>0</v>
      </c>
      <c r="D17" s="34">
        <f>Table1[[#This Row],[PURCHASE QUANTITY]]-Table1[[#This Row],[SEND QUANTITY]]</f>
        <v>0</v>
      </c>
      <c r="F17" s="39" t="str">
        <f>IF(Table1[[#This Row],[STOCK]]&gt;5,"IN STOCK",IF(Table1[[#This Row],[STOCK]]=0,"NOT IN STOCK",IF(Table1[[#This Row],[STOCK]]&lt;5,"LOW STOCK","")))</f>
        <v>NOT IN STOCK</v>
      </c>
    </row>
    <row r="18" spans="1:6" x14ac:dyDescent="0.3">
      <c r="A18" s="32" t="s">
        <v>24</v>
      </c>
      <c r="B18" s="33">
        <f>SUMIF(PURCHASE!B:B,Table1[[#This Row],[ITEM NAME]],PURCHASE!C:C)</f>
        <v>0</v>
      </c>
      <c r="C18" s="33">
        <f>SUMIF(BRANCH!C:C,Table1[[#This Row],[ITEM NAME]],BRANCH!D:D)</f>
        <v>0</v>
      </c>
      <c r="D18" s="34">
        <f>Table1[[#This Row],[PURCHASE QUANTITY]]-Table1[[#This Row],[SEND QUANTITY]]</f>
        <v>0</v>
      </c>
      <c r="F18" s="39" t="str">
        <f>IF(Table1[[#This Row],[STOCK]]&gt;5,"IN STOCK",IF(Table1[[#This Row],[STOCK]]=0,"NOT IN STOCK",IF(Table1[[#This Row],[STOCK]]&lt;5,"LOW STOCK","")))</f>
        <v>NOT IN STOCK</v>
      </c>
    </row>
    <row r="19" spans="1:6" x14ac:dyDescent="0.3">
      <c r="A19" s="32" t="s">
        <v>15</v>
      </c>
      <c r="B19" s="33">
        <f>SUMIF(PURCHASE!B:B,Table1[[#This Row],[ITEM NAME]],PURCHASE!C:C)</f>
        <v>0</v>
      </c>
      <c r="C19" s="33">
        <f>SUMIF(BRANCH!C:C,Table1[[#This Row],[ITEM NAME]],BRANCH!D:D)</f>
        <v>0</v>
      </c>
      <c r="D19" s="34">
        <f>Table1[[#This Row],[PURCHASE QUANTITY]]-Table1[[#This Row],[SEND QUANTITY]]</f>
        <v>0</v>
      </c>
      <c r="F19" s="39" t="str">
        <f>IF(Table1[[#This Row],[STOCK]]&gt;5,"IN STOCK",IF(Table1[[#This Row],[STOCK]]=0,"NOT IN STOCK",IF(Table1[[#This Row],[STOCK]]&lt;5,"LOW STOCK","")))</f>
        <v>NOT IN STOCK</v>
      </c>
    </row>
    <row r="20" spans="1:6" x14ac:dyDescent="0.3">
      <c r="A20" s="32" t="s">
        <v>11</v>
      </c>
      <c r="B20" s="33">
        <f>SUMIF(PURCHASE!B:B,Table1[[#This Row],[ITEM NAME]],PURCHASE!C:C)</f>
        <v>0</v>
      </c>
      <c r="C20" s="33">
        <f>SUMIF(BRANCH!C:C,Table1[[#This Row],[ITEM NAME]],BRANCH!D:D)</f>
        <v>0</v>
      </c>
      <c r="D20" s="34">
        <f>Table1[[#This Row],[PURCHASE QUANTITY]]-Table1[[#This Row],[SEND QUANTITY]]</f>
        <v>0</v>
      </c>
      <c r="F20" s="39" t="str">
        <f>IF(Table1[[#This Row],[STOCK]]&gt;5,"IN STOCK",IF(Table1[[#This Row],[STOCK]]=0,"NOT IN STOCK",IF(Table1[[#This Row],[STOCK]]&lt;5,"LOW STOCK","")))</f>
        <v>NOT IN STOCK</v>
      </c>
    </row>
    <row r="21" spans="1:6" x14ac:dyDescent="0.3">
      <c r="A21" s="32" t="s">
        <v>18</v>
      </c>
      <c r="B21" s="33">
        <f>SUMIF(PURCHASE!B:B,Table1[[#This Row],[ITEM NAME]],PURCHASE!C:C)</f>
        <v>0</v>
      </c>
      <c r="C21" s="33">
        <f>SUMIF(BRANCH!C:C,Table1[[#This Row],[ITEM NAME]],BRANCH!D:D)</f>
        <v>0</v>
      </c>
      <c r="D21" s="34">
        <f>Table1[[#This Row],[PURCHASE QUANTITY]]-Table1[[#This Row],[SEND QUANTITY]]</f>
        <v>0</v>
      </c>
      <c r="F21" s="39" t="str">
        <f>IF(Table1[[#This Row],[STOCK]]&gt;5,"IN STOCK",IF(Table1[[#This Row],[STOCK]]=0,"NOT IN STOCK",IF(Table1[[#This Row],[STOCK]]&lt;5,"LOW STOCK","")))</f>
        <v>NOT IN STOCK</v>
      </c>
    </row>
    <row r="22" spans="1:6" x14ac:dyDescent="0.3">
      <c r="A22" s="32" t="s">
        <v>9</v>
      </c>
      <c r="B22" s="33">
        <f>SUMIF(PURCHASE!B:B,Table1[[#This Row],[ITEM NAME]],PURCHASE!C:C)</f>
        <v>0</v>
      </c>
      <c r="C22" s="33">
        <f>SUMIF(BRANCH!C:C,Table1[[#This Row],[ITEM NAME]],BRANCH!D:D)</f>
        <v>0</v>
      </c>
      <c r="D22" s="34">
        <f>Table1[[#This Row],[PURCHASE QUANTITY]]-Table1[[#This Row],[SEND QUANTITY]]</f>
        <v>0</v>
      </c>
      <c r="F22" s="39" t="str">
        <f>IF(Table1[[#This Row],[STOCK]]&gt;5,"IN STOCK",IF(Table1[[#This Row],[STOCK]]=0,"NOT IN STOCK",IF(Table1[[#This Row],[STOCK]]&lt;5,"LOW STOCK","")))</f>
        <v>NOT IN STOCK</v>
      </c>
    </row>
    <row r="23" spans="1:6" x14ac:dyDescent="0.3">
      <c r="A23" s="32" t="s">
        <v>1</v>
      </c>
      <c r="B23" s="33">
        <f>SUMIF(PURCHASE!B:B,Table1[[#This Row],[ITEM NAME]],PURCHASE!C:C)</f>
        <v>0</v>
      </c>
      <c r="C23" s="33">
        <f>SUMIF(BRANCH!C:C,Table1[[#This Row],[ITEM NAME]],BRANCH!D:D)</f>
        <v>0</v>
      </c>
      <c r="D23" s="34">
        <f>Table1[[#This Row],[PURCHASE QUANTITY]]-Table1[[#This Row],[SEND QUANTITY]]</f>
        <v>0</v>
      </c>
      <c r="F23" s="39" t="str">
        <f>IF(Table1[[#This Row],[STOCK]]&gt;5,"IN STOCK",IF(Table1[[#This Row],[STOCK]]=0,"NOT IN STOCK",IF(Table1[[#This Row],[STOCK]]&lt;5,"LOW STOCK","")))</f>
        <v>NOT IN STOCK</v>
      </c>
    </row>
    <row r="24" spans="1:6" x14ac:dyDescent="0.3">
      <c r="A24" s="32" t="s">
        <v>22</v>
      </c>
      <c r="B24" s="33">
        <f>SUMIF(PURCHASE!B:B,Table1[[#This Row],[ITEM NAME]],PURCHASE!C:C)</f>
        <v>0</v>
      </c>
      <c r="C24" s="33">
        <f>SUMIF(BRANCH!C:C,Table1[[#This Row],[ITEM NAME]],BRANCH!D:D)</f>
        <v>0</v>
      </c>
      <c r="D24" s="34">
        <f>Table1[[#This Row],[PURCHASE QUANTITY]]-Table1[[#This Row],[SEND QUANTITY]]</f>
        <v>0</v>
      </c>
      <c r="F24" s="39" t="str">
        <f>IF(Table1[[#This Row],[STOCK]]&gt;5,"IN STOCK",IF(Table1[[#This Row],[STOCK]]=0,"NOT IN STOCK",IF(Table1[[#This Row],[STOCK]]&lt;5,"LOW STOCK","")))</f>
        <v>NOT IN STOCK</v>
      </c>
    </row>
    <row r="25" spans="1:6" x14ac:dyDescent="0.3">
      <c r="A25" s="32" t="s">
        <v>14</v>
      </c>
      <c r="B25" s="33">
        <f>SUMIF(PURCHASE!B:B,Table1[[#This Row],[ITEM NAME]],PURCHASE!C:C)</f>
        <v>0</v>
      </c>
      <c r="C25" s="33">
        <f>SUMIF(BRANCH!C:C,Table1[[#This Row],[ITEM NAME]],BRANCH!D:D)</f>
        <v>0</v>
      </c>
      <c r="D25" s="34">
        <f>Table1[[#This Row],[PURCHASE QUANTITY]]-Table1[[#This Row],[SEND QUANTITY]]</f>
        <v>0</v>
      </c>
      <c r="F25" s="39" t="str">
        <f>IF(Table1[[#This Row],[STOCK]]&gt;5,"IN STOCK",IF(Table1[[#This Row],[STOCK]]=0,"NOT IN STOCK",IF(Table1[[#This Row],[STOCK]]&lt;5,"LOW STOCK","")))</f>
        <v>NOT IN STOCK</v>
      </c>
    </row>
    <row r="26" spans="1:6" x14ac:dyDescent="0.3">
      <c r="A26" s="32" t="s">
        <v>30</v>
      </c>
      <c r="B26" s="33">
        <f>SUMIF(PURCHASE!B:B,Table1[[#This Row],[ITEM NAME]],PURCHASE!C:C)</f>
        <v>0</v>
      </c>
      <c r="C26" s="33">
        <f>SUMIF(BRANCH!C:C,Table1[[#This Row],[ITEM NAME]],BRANCH!D:D)</f>
        <v>0</v>
      </c>
      <c r="D26" s="34">
        <f>Table1[[#This Row],[PURCHASE QUANTITY]]-Table1[[#This Row],[SEND QUANTITY]]</f>
        <v>0</v>
      </c>
      <c r="F26" s="39" t="str">
        <f>IF(Table1[[#This Row],[STOCK]]&gt;5,"IN STOCK",IF(Table1[[#This Row],[STOCK]]=0,"NOT IN STOCK",IF(Table1[[#This Row],[STOCK]]&lt;5,"LOW STOCK","")))</f>
        <v>NOT IN STOCK</v>
      </c>
    </row>
    <row r="27" spans="1:6" x14ac:dyDescent="0.3">
      <c r="A27" s="32" t="s">
        <v>3</v>
      </c>
      <c r="B27" s="33">
        <f>SUMIF(PURCHASE!B:B,Table1[[#This Row],[ITEM NAME]],PURCHASE!C:C)</f>
        <v>0</v>
      </c>
      <c r="C27" s="33">
        <f>SUMIF(BRANCH!C:C,Table1[[#This Row],[ITEM NAME]],BRANCH!D:D)</f>
        <v>0</v>
      </c>
      <c r="D27" s="34">
        <f>Table1[[#This Row],[PURCHASE QUANTITY]]-Table1[[#This Row],[SEND QUANTITY]]</f>
        <v>0</v>
      </c>
      <c r="F27" s="39" t="str">
        <f>IF(Table1[[#This Row],[STOCK]]&gt;5,"IN STOCK",IF(Table1[[#This Row],[STOCK]]=0,"NOT IN STOCK",IF(Table1[[#This Row],[STOCK]]&lt;5,"LOW STOCK","")))</f>
        <v>NOT IN STOCK</v>
      </c>
    </row>
    <row r="28" spans="1:6" x14ac:dyDescent="0.3">
      <c r="A28" s="32" t="s">
        <v>31</v>
      </c>
      <c r="B28" s="33">
        <f>SUMIF(PURCHASE!B:B,Table1[[#This Row],[ITEM NAME]],PURCHASE!C:C)</f>
        <v>0</v>
      </c>
      <c r="C28" s="33">
        <f>SUMIF(BRANCH!C:C,Table1[[#This Row],[ITEM NAME]],BRANCH!D:D)</f>
        <v>0</v>
      </c>
      <c r="D28" s="34">
        <f>Table1[[#This Row],[PURCHASE QUANTITY]]-Table1[[#This Row],[SEND QUANTITY]]</f>
        <v>0</v>
      </c>
      <c r="F28" s="39" t="str">
        <f>IF(Table1[[#This Row],[STOCK]]&gt;5,"IN STOCK",IF(Table1[[#This Row],[STOCK]]=0,"NOT IN STOCK",IF(Table1[[#This Row],[STOCK]]&lt;5,"LOW STOCK","")))</f>
        <v>NOT IN STOCK</v>
      </c>
    </row>
    <row r="29" spans="1:6" x14ac:dyDescent="0.3">
      <c r="A29" s="32" t="s">
        <v>32</v>
      </c>
      <c r="B29" s="33">
        <f>SUMIF(PURCHASE!B:B,Table1[[#This Row],[ITEM NAME]],PURCHASE!C:C)</f>
        <v>0</v>
      </c>
      <c r="C29" s="33">
        <f>SUMIF(BRANCH!C:C,Table1[[#This Row],[ITEM NAME]],BRANCH!D:D)</f>
        <v>0</v>
      </c>
      <c r="D29" s="34">
        <f>Table1[[#This Row],[PURCHASE QUANTITY]]-Table1[[#This Row],[SEND QUANTITY]]</f>
        <v>0</v>
      </c>
      <c r="F29" s="39" t="str">
        <f>IF(Table1[[#This Row],[STOCK]]&gt;5,"IN STOCK",IF(Table1[[#This Row],[STOCK]]=0,"NOT IN STOCK",IF(Table1[[#This Row],[STOCK]]&lt;5,"LOW STOCK","")))</f>
        <v>NOT IN STOCK</v>
      </c>
    </row>
    <row r="30" spans="1:6" x14ac:dyDescent="0.3">
      <c r="A30" s="32" t="s">
        <v>33</v>
      </c>
      <c r="B30" s="33">
        <f>SUMIF(PURCHASE!B:B,Table1[[#This Row],[ITEM NAME]],PURCHASE!C:C)</f>
        <v>0</v>
      </c>
      <c r="C30" s="33">
        <f>SUMIF(BRANCH!C:C,Table1[[#This Row],[ITEM NAME]],BRANCH!D:D)</f>
        <v>0</v>
      </c>
      <c r="D30" s="34">
        <f>Table1[[#This Row],[PURCHASE QUANTITY]]-Table1[[#This Row],[SEND QUANTITY]]</f>
        <v>0</v>
      </c>
      <c r="F30" s="39" t="str">
        <f>IF(Table1[[#This Row],[STOCK]]&gt;5,"IN STOCK",IF(Table1[[#This Row],[STOCK]]=0,"NOT IN STOCK",IF(Table1[[#This Row],[STOCK]]&lt;5,"LOW STOCK","")))</f>
        <v>NOT IN STOCK</v>
      </c>
    </row>
    <row r="31" spans="1:6" x14ac:dyDescent="0.3">
      <c r="A31" s="32" t="s">
        <v>34</v>
      </c>
      <c r="B31" s="33">
        <f>SUMIF(PURCHASE!B:B,Table1[[#This Row],[ITEM NAME]],PURCHASE!C:C)</f>
        <v>0</v>
      </c>
      <c r="C31" s="33">
        <f>SUMIF(BRANCH!C:C,Table1[[#This Row],[ITEM NAME]],BRANCH!D:D)</f>
        <v>0</v>
      </c>
      <c r="D31" s="34">
        <f>Table1[[#This Row],[PURCHASE QUANTITY]]-Table1[[#This Row],[SEND QUANTITY]]</f>
        <v>0</v>
      </c>
      <c r="F31" s="39" t="str">
        <f>IF(Table1[[#This Row],[STOCK]]&gt;5,"IN STOCK",IF(Table1[[#This Row],[STOCK]]=0,"NOT IN STOCK",IF(Table1[[#This Row],[STOCK]]&lt;5,"LOW STOCK","")))</f>
        <v>NOT IN STOCK</v>
      </c>
    </row>
    <row r="32" spans="1:6" x14ac:dyDescent="0.3">
      <c r="A32" s="32" t="s">
        <v>10</v>
      </c>
      <c r="B32" s="33">
        <f>SUMIF(PURCHASE!B:B,Table1[[#This Row],[ITEM NAME]],PURCHASE!C:C)</f>
        <v>0</v>
      </c>
      <c r="C32" s="33">
        <f>SUMIF(BRANCH!C:C,Table1[[#This Row],[ITEM NAME]],BRANCH!D:D)</f>
        <v>0</v>
      </c>
      <c r="D32" s="34">
        <f>Table1[[#This Row],[PURCHASE QUANTITY]]-Table1[[#This Row],[SEND QUANTITY]]</f>
        <v>0</v>
      </c>
      <c r="F32" s="39" t="str">
        <f>IF(Table1[[#This Row],[STOCK]]&gt;5,"IN STOCK",IF(Table1[[#This Row],[STOCK]]=0,"NOT IN STOCK",IF(Table1[[#This Row],[STOCK]]&lt;5,"LOW STOCK","")))</f>
        <v>NOT IN STOCK</v>
      </c>
    </row>
    <row r="33" spans="1:6" x14ac:dyDescent="0.3">
      <c r="A33" s="32" t="s">
        <v>25</v>
      </c>
      <c r="B33" s="33">
        <f>SUMIF(PURCHASE!B:B,Table1[[#This Row],[ITEM NAME]],PURCHASE!C:C)</f>
        <v>0</v>
      </c>
      <c r="C33" s="33">
        <f>SUMIF(BRANCH!C:C,Table1[[#This Row],[ITEM NAME]],BRANCH!D:D)</f>
        <v>0</v>
      </c>
      <c r="D33" s="34">
        <f>Table1[[#This Row],[PURCHASE QUANTITY]]-Table1[[#This Row],[SEND QUANTITY]]</f>
        <v>0</v>
      </c>
      <c r="F33" s="39" t="str">
        <f>IF(Table1[[#This Row],[STOCK]]&gt;5,"IN STOCK",IF(Table1[[#This Row],[STOCK]]=0,"NOT IN STOCK",IF(Table1[[#This Row],[STOCK]]&lt;5,"LOW STOCK","")))</f>
        <v>NOT IN STOCK</v>
      </c>
    </row>
    <row r="34" spans="1:6" x14ac:dyDescent="0.3">
      <c r="A34" s="32" t="s">
        <v>8</v>
      </c>
      <c r="B34" s="33">
        <f>SUMIF(PURCHASE!B:B,Table1[[#This Row],[ITEM NAME]],PURCHASE!C:C)</f>
        <v>0</v>
      </c>
      <c r="C34" s="33">
        <f>SUMIF(BRANCH!C:C,Table1[[#This Row],[ITEM NAME]],BRANCH!D:D)</f>
        <v>0</v>
      </c>
      <c r="D34" s="34">
        <f>Table1[[#This Row],[PURCHASE QUANTITY]]-Table1[[#This Row],[SEND QUANTITY]]</f>
        <v>0</v>
      </c>
      <c r="F34" s="39" t="str">
        <f>IF(Table1[[#This Row],[STOCK]]&gt;5,"IN STOCK",IF(Table1[[#This Row],[STOCK]]=0,"NOT IN STOCK",IF(Table1[[#This Row],[STOCK]]&lt;5,"LOW STOCK","")))</f>
        <v>NOT IN STOCK</v>
      </c>
    </row>
    <row r="35" spans="1:6" x14ac:dyDescent="0.3">
      <c r="A35" s="32" t="s">
        <v>7</v>
      </c>
      <c r="B35" s="33">
        <f>SUMIF(PURCHASE!B:B,Table1[[#This Row],[ITEM NAME]],PURCHASE!C:C)</f>
        <v>0</v>
      </c>
      <c r="C35" s="33">
        <f>SUMIF(BRANCH!C:C,Table1[[#This Row],[ITEM NAME]],BRANCH!D:D)</f>
        <v>0</v>
      </c>
      <c r="D35" s="34">
        <f>Table1[[#This Row],[PURCHASE QUANTITY]]-Table1[[#This Row],[SEND QUANTITY]]</f>
        <v>0</v>
      </c>
      <c r="F35" s="39" t="str">
        <f>IF(Table1[[#This Row],[STOCK]]&gt;5,"IN STOCK",IF(Table1[[#This Row],[STOCK]]=0,"NOT IN STOCK",IF(Table1[[#This Row],[STOCK]]&lt;5,"LOW STOCK","")))</f>
        <v>NOT IN STOCK</v>
      </c>
    </row>
    <row r="36" spans="1:6" x14ac:dyDescent="0.3">
      <c r="A36" s="35" t="s">
        <v>27</v>
      </c>
      <c r="B36" s="36">
        <f>SUMIF(PURCHASE!B:B,Table1[[#This Row],[ITEM NAME]],PURCHASE!C:C)</f>
        <v>0</v>
      </c>
      <c r="C36" s="36">
        <f>SUMIF(BRANCH!C:C,Table1[[#This Row],[ITEM NAME]],BRANCH!D:D)</f>
        <v>0</v>
      </c>
      <c r="D36" s="37">
        <f>Table1[[#This Row],[PURCHASE QUANTITY]]-Table1[[#This Row],[SEND QUANTITY]]</f>
        <v>0</v>
      </c>
      <c r="F36" s="39" t="str">
        <f>IF(Table1[[#This Row],[STOCK]]&gt;5,"IN STOCK",IF(Table1[[#This Row],[STOCK]]=0,"NOT IN STOCK",IF(Table1[[#This Row],[STOCK]]&lt;5,"LOW STOCK","")))</f>
        <v>NOT IN STOCK</v>
      </c>
    </row>
    <row r="37" spans="1:6" x14ac:dyDescent="0.3">
      <c r="F37" s="28"/>
    </row>
    <row r="38" spans="1:6" x14ac:dyDescent="0.3">
      <c r="F38" s="28"/>
    </row>
  </sheetData>
  <conditionalFormatting sqref="F2:F36">
    <cfRule type="cellIs" dxfId="18" priority="1" operator="equal">
      <formula>"IN STOCK"</formula>
    </cfRule>
    <cfRule type="cellIs" dxfId="17" priority="2" operator="equal">
      <formula>"LOW STOCK"</formula>
    </cfRule>
    <cfRule type="cellIs" dxfId="16" priority="3" operator="equal">
      <formula>"not in stock"</formula>
    </cfRule>
    <cfRule type="cellIs" dxfId="15" priority="4" operator="equal">
      <formula>"NOT IN STOCK"</formula>
    </cfRule>
    <cfRule type="cellIs" dxfId="14" priority="5" operator="equal">
      <formula>"NOT IN STOCK"</formula>
    </cfRule>
    <cfRule type="cellIs" dxfId="13" priority="6" operator="equal">
      <formula>"LOW STOCK"</formula>
    </cfRule>
    <cfRule type="cellIs" dxfId="12" priority="7" operator="equal">
      <formula>"LOW STOCK"</formula>
    </cfRule>
    <cfRule type="cellIs" dxfId="11" priority="8" operator="equal">
      <formula>"IN STOCK"</formula>
    </cfRule>
    <cfRule type="cellIs" dxfId="10" priority="9" operator="equal">
      <formula>"LOW STOCK"</formula>
    </cfRule>
    <cfRule type="cellIs" dxfId="9" priority="10" operator="equal">
      <formula>"NOT IN STOCK"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PURCHASE</vt:lpstr>
      <vt:lpstr>BRANCH</vt:lpstr>
      <vt:lpstr>TOTAL SEND TO EACH BRACNH</vt:lpstr>
      <vt:lpstr>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usman mulla</dc:creator>
  <cp:lastModifiedBy>Imtiaz</cp:lastModifiedBy>
  <dcterms:created xsi:type="dcterms:W3CDTF">2022-03-12T14:47:31Z</dcterms:created>
  <dcterms:modified xsi:type="dcterms:W3CDTF">2022-03-18T16:17:21Z</dcterms:modified>
</cp:coreProperties>
</file>